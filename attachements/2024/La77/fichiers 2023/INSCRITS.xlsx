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50" yWindow="975" windowWidth="21210" windowHeight="8145"/>
  </bookViews>
  <sheets>
    <sheet name="Categorie LD" sheetId="1" r:id="rId1"/>
    <sheet name="CONTROL" sheetId="3" r:id="rId2"/>
    <sheet name="total par circuit" sheetId="2" r:id="rId3"/>
  </sheets>
  <definedNames>
    <definedName name="_xlnm._FilterDatabase" localSheetId="0" hidden="1">'Categorie LD'!$A$1:$G$477</definedName>
  </definedNames>
  <calcPr calcId="124519"/>
  <pivotCaches>
    <pivotCache cacheId="1" r:id="rId4"/>
  </pivotCaches>
</workbook>
</file>

<file path=xl/calcChain.xml><?xml version="1.0" encoding="utf-8"?>
<calcChain xmlns="http://schemas.openxmlformats.org/spreadsheetml/2006/main">
  <c r="F10" i="3"/>
  <c r="F9"/>
  <c r="F8"/>
  <c r="F7"/>
  <c r="F6"/>
  <c r="F5"/>
  <c r="E5"/>
  <c r="E4"/>
  <c r="F4" s="1"/>
  <c r="F11" s="1"/>
  <c r="C4"/>
  <c r="C11" s="1"/>
</calcChain>
</file>

<file path=xl/sharedStrings.xml><?xml version="1.0" encoding="utf-8"?>
<sst xmlns="http://schemas.openxmlformats.org/spreadsheetml/2006/main" count="2424" uniqueCount="819">
  <si>
    <t>No puce</t>
  </si>
  <si>
    <t>NOM</t>
  </si>
  <si>
    <t>Prénom</t>
  </si>
  <si>
    <t>Né</t>
  </si>
  <si>
    <t>Commentaire</t>
  </si>
  <si>
    <t>Nom club</t>
  </si>
  <si>
    <t>ANCIAUX</t>
  </si>
  <si>
    <t>Benjamin</t>
  </si>
  <si>
    <t>Pass_C</t>
  </si>
  <si>
    <t>Pass Competition</t>
  </si>
  <si>
    <t>A</t>
  </si>
  <si>
    <t>BACHEL</t>
  </si>
  <si>
    <t>Thomas</t>
  </si>
  <si>
    <t>5703GE</t>
  </si>
  <si>
    <t>T.A. FAMECK</t>
  </si>
  <si>
    <t>BARBIER</t>
  </si>
  <si>
    <t>Christophe</t>
  </si>
  <si>
    <t>BAVIERE</t>
  </si>
  <si>
    <t>Pierre-Emmanuel</t>
  </si>
  <si>
    <t>BEAUVISAGE</t>
  </si>
  <si>
    <t>Bruno</t>
  </si>
  <si>
    <t>7604NM</t>
  </si>
  <si>
    <t>ALBEOrientation</t>
  </si>
  <si>
    <t>BESSON</t>
  </si>
  <si>
    <t>David</t>
  </si>
  <si>
    <t>4504CE</t>
  </si>
  <si>
    <t>ASCO ORLEANS</t>
  </si>
  <si>
    <t>BESTEL</t>
  </si>
  <si>
    <t>Arnault</t>
  </si>
  <si>
    <t>9105IF</t>
  </si>
  <si>
    <t>COLE</t>
  </si>
  <si>
    <t>Thierry</t>
  </si>
  <si>
    <t>BORDENAVE</t>
  </si>
  <si>
    <t>Claude</t>
  </si>
  <si>
    <t>7807IF</t>
  </si>
  <si>
    <t>GO78</t>
  </si>
  <si>
    <t>BOUCHART</t>
  </si>
  <si>
    <t>Hugo</t>
  </si>
  <si>
    <t>BOUQUILLION</t>
  </si>
  <si>
    <t>Maxime</t>
  </si>
  <si>
    <t>6208HF</t>
  </si>
  <si>
    <t>B.A</t>
  </si>
  <si>
    <t>BOUSSAC</t>
  </si>
  <si>
    <t>Nicolas</t>
  </si>
  <si>
    <t>BOUSSER</t>
  </si>
  <si>
    <t>BROCHOT</t>
  </si>
  <si>
    <t>Rémi</t>
  </si>
  <si>
    <t>7716IF</t>
  </si>
  <si>
    <t>BALISE 77</t>
  </si>
  <si>
    <t>CALBO</t>
  </si>
  <si>
    <t>Frédéric</t>
  </si>
  <si>
    <t>7205PL</t>
  </si>
  <si>
    <t>LMA 72</t>
  </si>
  <si>
    <t>CHAREYRE</t>
  </si>
  <si>
    <t>Valentin</t>
  </si>
  <si>
    <t>2108BF</t>
  </si>
  <si>
    <t>Talant SO</t>
  </si>
  <si>
    <t>CHELIN</t>
  </si>
  <si>
    <t>Morgan</t>
  </si>
  <si>
    <t>CLERTON</t>
  </si>
  <si>
    <t>Anthony</t>
  </si>
  <si>
    <t>7512IF</t>
  </si>
  <si>
    <t>RO'Paris</t>
  </si>
  <si>
    <t>CREMIERE</t>
  </si>
  <si>
    <t>Benoit</t>
  </si>
  <si>
    <t>9211IF</t>
  </si>
  <si>
    <t>DSA</t>
  </si>
  <si>
    <t>CZERNIAK</t>
  </si>
  <si>
    <t>Jérôme</t>
  </si>
  <si>
    <t>6205HF</t>
  </si>
  <si>
    <t>O²</t>
  </si>
  <si>
    <t>DAEM</t>
  </si>
  <si>
    <t>Adriaan</t>
  </si>
  <si>
    <t>DANIEL</t>
  </si>
  <si>
    <t>Igor</t>
  </si>
  <si>
    <t>1905NA</t>
  </si>
  <si>
    <t>BriveCorrèzeCO</t>
  </si>
  <si>
    <t>DAVID</t>
  </si>
  <si>
    <t>Eric</t>
  </si>
  <si>
    <t>DE CLERCQ</t>
  </si>
  <si>
    <t>Rune</t>
  </si>
  <si>
    <t>DE OLIVEIRA</t>
  </si>
  <si>
    <t>Jerome</t>
  </si>
  <si>
    <t>DEES</t>
  </si>
  <si>
    <t>Alexandre</t>
  </si>
  <si>
    <t>6008HF</t>
  </si>
  <si>
    <t>NOYON CO</t>
  </si>
  <si>
    <t>DELORME</t>
  </si>
  <si>
    <t>Baptiste</t>
  </si>
  <si>
    <t>7707IF</t>
  </si>
  <si>
    <t>OPA MONTIGNY</t>
  </si>
  <si>
    <t>DEMBLON</t>
  </si>
  <si>
    <t>Florian</t>
  </si>
  <si>
    <t>DERLOT</t>
  </si>
  <si>
    <t>Antoine</t>
  </si>
  <si>
    <t>Damien</t>
  </si>
  <si>
    <t>DEROBERT-MAZURE</t>
  </si>
  <si>
    <t>Jean-Charles</t>
  </si>
  <si>
    <t>6307AR</t>
  </si>
  <si>
    <t>Balise 63</t>
  </si>
  <si>
    <t>DEVILLERS</t>
  </si>
  <si>
    <t>9209IF</t>
  </si>
  <si>
    <t>Raid-Up</t>
  </si>
  <si>
    <t>DI STEFANO</t>
  </si>
  <si>
    <t>Sébastien</t>
  </si>
  <si>
    <t>DIVAY</t>
  </si>
  <si>
    <t>1406NM</t>
  </si>
  <si>
    <t>vir'king raid</t>
  </si>
  <si>
    <t>DUBOIS</t>
  </si>
  <si>
    <t>Hervé</t>
  </si>
  <si>
    <t>Philippe</t>
  </si>
  <si>
    <t>7709IF</t>
  </si>
  <si>
    <t>USM/CO</t>
  </si>
  <si>
    <t>DUTERAGE</t>
  </si>
  <si>
    <t>Christian</t>
  </si>
  <si>
    <t>DUYME</t>
  </si>
  <si>
    <t>5116GE</t>
  </si>
  <si>
    <t>ASO Sillery</t>
  </si>
  <si>
    <t>Olivier</t>
  </si>
  <si>
    <t>ESTHER</t>
  </si>
  <si>
    <t>3705CE</t>
  </si>
  <si>
    <t>COTS</t>
  </si>
  <si>
    <t>ESTIVAL</t>
  </si>
  <si>
    <t>Jean-Luc</t>
  </si>
  <si>
    <t>FLANDRIN</t>
  </si>
  <si>
    <t>Gautier</t>
  </si>
  <si>
    <t>FRADET</t>
  </si>
  <si>
    <t>Adrien</t>
  </si>
  <si>
    <t>GASTINEAU</t>
  </si>
  <si>
    <t>Guillaume</t>
  </si>
  <si>
    <t>GEROMEY</t>
  </si>
  <si>
    <t>Jean-Pierre</t>
  </si>
  <si>
    <t>8813GE</t>
  </si>
  <si>
    <t>Terres d'O</t>
  </si>
  <si>
    <t>GILLARD</t>
  </si>
  <si>
    <t>Hugues</t>
  </si>
  <si>
    <t>Lucas</t>
  </si>
  <si>
    <t>GILLET</t>
  </si>
  <si>
    <t>Jean-Marc</t>
  </si>
  <si>
    <t>GIRET</t>
  </si>
  <si>
    <t>NICOLAS</t>
  </si>
  <si>
    <t>2801CE</t>
  </si>
  <si>
    <t>ESPAD</t>
  </si>
  <si>
    <t>GODEFROY</t>
  </si>
  <si>
    <t>Simon</t>
  </si>
  <si>
    <t>GONDCAILLE</t>
  </si>
  <si>
    <t>Laurent</t>
  </si>
  <si>
    <t>GORGUE</t>
  </si>
  <si>
    <t>Jean</t>
  </si>
  <si>
    <t>GRAFFIN</t>
  </si>
  <si>
    <t>8812GE</t>
  </si>
  <si>
    <t>O'ZONE 88</t>
  </si>
  <si>
    <t>GRANCOIN</t>
  </si>
  <si>
    <t>Marc</t>
  </si>
  <si>
    <t>GRATTEPANCHE</t>
  </si>
  <si>
    <t>Florent</t>
  </si>
  <si>
    <t>5907HF</t>
  </si>
  <si>
    <t>T.A.D.</t>
  </si>
  <si>
    <t>GROSHENS</t>
  </si>
  <si>
    <t>Didier</t>
  </si>
  <si>
    <t>GUENIN</t>
  </si>
  <si>
    <t>GUERINI</t>
  </si>
  <si>
    <t>Robin</t>
  </si>
  <si>
    <t>GUILBERT</t>
  </si>
  <si>
    <t>GUINOT</t>
  </si>
  <si>
    <t>Thibaut</t>
  </si>
  <si>
    <t>HALTZ</t>
  </si>
  <si>
    <t>Louis</t>
  </si>
  <si>
    <t>HANAFIN</t>
  </si>
  <si>
    <t>Jack</t>
  </si>
  <si>
    <t>HANAUER</t>
  </si>
  <si>
    <t>Jean-Marie</t>
  </si>
  <si>
    <t>6806GE</t>
  </si>
  <si>
    <t>COBuhl.Florival</t>
  </si>
  <si>
    <t>HAUTREUX</t>
  </si>
  <si>
    <t>HEROUARD</t>
  </si>
  <si>
    <t>HOFMANS</t>
  </si>
  <si>
    <t>JACQUES</t>
  </si>
  <si>
    <t>Lionel</t>
  </si>
  <si>
    <t>KURTZ</t>
  </si>
  <si>
    <t>Johan</t>
  </si>
  <si>
    <t>LE CAM</t>
  </si>
  <si>
    <t>Raphaël</t>
  </si>
  <si>
    <t>3502BR</t>
  </si>
  <si>
    <t>CRCO</t>
  </si>
  <si>
    <t>LE HELLOCO</t>
  </si>
  <si>
    <t>Alec</t>
  </si>
  <si>
    <t>LE MEUR</t>
  </si>
  <si>
    <t>pierre</t>
  </si>
  <si>
    <t>9510IF</t>
  </si>
  <si>
    <t>ROC</t>
  </si>
  <si>
    <t>LE ROUX</t>
  </si>
  <si>
    <t>LEBEGUE</t>
  </si>
  <si>
    <t>JF</t>
  </si>
  <si>
    <t>LEDEZ</t>
  </si>
  <si>
    <t>LEJEUNE</t>
  </si>
  <si>
    <t>LESUEUR</t>
  </si>
  <si>
    <t>Stéphane</t>
  </si>
  <si>
    <t>LINTANF</t>
  </si>
  <si>
    <t>LOTT</t>
  </si>
  <si>
    <t>Frederic</t>
  </si>
  <si>
    <t>MANCEL</t>
  </si>
  <si>
    <t>Stephane</t>
  </si>
  <si>
    <t>MANGIN</t>
  </si>
  <si>
    <t>MARBOUTY</t>
  </si>
  <si>
    <t>Romain</t>
  </si>
  <si>
    <t>MARCHAND</t>
  </si>
  <si>
    <t>7605NM</t>
  </si>
  <si>
    <t>COBS</t>
  </si>
  <si>
    <t>MARTY</t>
  </si>
  <si>
    <t>Patrick</t>
  </si>
  <si>
    <t>MASSON</t>
  </si>
  <si>
    <t>MAURIES</t>
  </si>
  <si>
    <t>MEUNIER</t>
  </si>
  <si>
    <t>MOLLE</t>
  </si>
  <si>
    <t>Mickaël</t>
  </si>
  <si>
    <t>MOREELS</t>
  </si>
  <si>
    <t>Jasper</t>
  </si>
  <si>
    <t>MORLON</t>
  </si>
  <si>
    <t>Jean-François</t>
  </si>
  <si>
    <t>MOUGEL</t>
  </si>
  <si>
    <t>NAVILLE</t>
  </si>
  <si>
    <t>NIJST</t>
  </si>
  <si>
    <t>Tino</t>
  </si>
  <si>
    <t>NORWOOD</t>
  </si>
  <si>
    <t>Tim</t>
  </si>
  <si>
    <t>ODERMATT</t>
  </si>
  <si>
    <t>Brian</t>
  </si>
  <si>
    <t>6803GE</t>
  </si>
  <si>
    <t>COMulhouse</t>
  </si>
  <si>
    <t>PACHER</t>
  </si>
  <si>
    <t>7701IF</t>
  </si>
  <si>
    <t>CSA CNSD</t>
  </si>
  <si>
    <t>PANNIER</t>
  </si>
  <si>
    <t>Axel</t>
  </si>
  <si>
    <t>Pascal</t>
  </si>
  <si>
    <t>PEKER</t>
  </si>
  <si>
    <t>Vincent</t>
  </si>
  <si>
    <t>Yves</t>
  </si>
  <si>
    <t>PERRIN</t>
  </si>
  <si>
    <t>Arnaud</t>
  </si>
  <si>
    <t>4201AR</t>
  </si>
  <si>
    <t>NOSE</t>
  </si>
  <si>
    <t>PHILIPPE</t>
  </si>
  <si>
    <t>Matthieu</t>
  </si>
  <si>
    <t>PIN</t>
  </si>
  <si>
    <t>Dorian</t>
  </si>
  <si>
    <t>PINSARD</t>
  </si>
  <si>
    <t>2508BF</t>
  </si>
  <si>
    <t>BALISE 25</t>
  </si>
  <si>
    <t>PIVERT</t>
  </si>
  <si>
    <t>Jean-Baptiste</t>
  </si>
  <si>
    <t>POULAIN</t>
  </si>
  <si>
    <t>PRADEAU</t>
  </si>
  <si>
    <t>François</t>
  </si>
  <si>
    <t>PRINS</t>
  </si>
  <si>
    <t>Grégory</t>
  </si>
  <si>
    <t>PRUVOST</t>
  </si>
  <si>
    <t>RADONDY</t>
  </si>
  <si>
    <t>RAIMBAULT</t>
  </si>
  <si>
    <t>Juste</t>
  </si>
  <si>
    <t>RAUTURIER</t>
  </si>
  <si>
    <t>RAYMOND</t>
  </si>
  <si>
    <t>Raphael</t>
  </si>
  <si>
    <t>RICARD</t>
  </si>
  <si>
    <t>Gaël</t>
  </si>
  <si>
    <t>9502IF</t>
  </si>
  <si>
    <t>ACBeauchamp</t>
  </si>
  <si>
    <t>ROBINSON</t>
  </si>
  <si>
    <t>ROWE</t>
  </si>
  <si>
    <t>Oscar</t>
  </si>
  <si>
    <t>SANDEVOIR</t>
  </si>
  <si>
    <t>Luc</t>
  </si>
  <si>
    <t>1403NM</t>
  </si>
  <si>
    <t>O. CAENNAISE</t>
  </si>
  <si>
    <t>SELLIER</t>
  </si>
  <si>
    <t>0111AR</t>
  </si>
  <si>
    <t>CO AMBERIEU</t>
  </si>
  <si>
    <t>Mathis</t>
  </si>
  <si>
    <t>SIREJOL</t>
  </si>
  <si>
    <t>SOLIER</t>
  </si>
  <si>
    <t>Judicaël</t>
  </si>
  <si>
    <t>THONIER</t>
  </si>
  <si>
    <t>TOUZEAU</t>
  </si>
  <si>
    <t>TROUSSON</t>
  </si>
  <si>
    <t>URVOY</t>
  </si>
  <si>
    <t>Mateo</t>
  </si>
  <si>
    <t>VANNIER</t>
  </si>
  <si>
    <t>Fabrice</t>
  </si>
  <si>
    <t>VARIN</t>
  </si>
  <si>
    <t>5906HF</t>
  </si>
  <si>
    <t>VALMO</t>
  </si>
  <si>
    <t>VEROVE</t>
  </si>
  <si>
    <t>Vianney</t>
  </si>
  <si>
    <t>VLEUGELS</t>
  </si>
  <si>
    <t>Brent</t>
  </si>
  <si>
    <t>VUILLEMARD</t>
  </si>
  <si>
    <t>Jérémy</t>
  </si>
  <si>
    <t>AVENEL</t>
  </si>
  <si>
    <t>Boris</t>
  </si>
  <si>
    <t xml:space="preserve"> B</t>
  </si>
  <si>
    <t>BAILLET</t>
  </si>
  <si>
    <t>6013HF</t>
  </si>
  <si>
    <t>LABO2</t>
  </si>
  <si>
    <t>BARAILLE</t>
  </si>
  <si>
    <t>Constantin</t>
  </si>
  <si>
    <t>BERTHOMIEU</t>
  </si>
  <si>
    <t>Manuel</t>
  </si>
  <si>
    <t>BONNEFOND</t>
  </si>
  <si>
    <t>Chloé</t>
  </si>
  <si>
    <t>F</t>
  </si>
  <si>
    <t>BRAULT</t>
  </si>
  <si>
    <t>Leo</t>
  </si>
  <si>
    <t>BROWNE</t>
  </si>
  <si>
    <t>Gerry</t>
  </si>
  <si>
    <t>BUCKLEY</t>
  </si>
  <si>
    <t>Eve</t>
  </si>
  <si>
    <t>CHAPUT</t>
  </si>
  <si>
    <t>Titouan</t>
  </si>
  <si>
    <t>COIRON</t>
  </si>
  <si>
    <t>Paul</t>
  </si>
  <si>
    <t>COLLARD</t>
  </si>
  <si>
    <t>Tristan</t>
  </si>
  <si>
    <t>COLLIN</t>
  </si>
  <si>
    <t>Pierre</t>
  </si>
  <si>
    <t>8903BF</t>
  </si>
  <si>
    <t>YCONE-Sens</t>
  </si>
  <si>
    <t>COUSIN</t>
  </si>
  <si>
    <t>DALON</t>
  </si>
  <si>
    <t>Gelica</t>
  </si>
  <si>
    <t>DARIMONT</t>
  </si>
  <si>
    <t>DE MARCH</t>
  </si>
  <si>
    <t>Angélique</t>
  </si>
  <si>
    <t>DEDE</t>
  </si>
  <si>
    <t>DEFRAIGNE</t>
  </si>
  <si>
    <t>Sandrine</t>
  </si>
  <si>
    <t>DELAUME</t>
  </si>
  <si>
    <t>DESRUMAUX</t>
  </si>
  <si>
    <t>Marie</t>
  </si>
  <si>
    <t>DURAND</t>
  </si>
  <si>
    <t>Marion</t>
  </si>
  <si>
    <t>EDIERRE</t>
  </si>
  <si>
    <t>Véronique</t>
  </si>
  <si>
    <t>FAUCHEUX</t>
  </si>
  <si>
    <t>Cédric</t>
  </si>
  <si>
    <t>FAUQUANT</t>
  </si>
  <si>
    <t>GERARD</t>
  </si>
  <si>
    <t>GHIGLIONE</t>
  </si>
  <si>
    <t>GLASSET</t>
  </si>
  <si>
    <t>GOVAERTS</t>
  </si>
  <si>
    <t>Bernadette</t>
  </si>
  <si>
    <t>GUENO</t>
  </si>
  <si>
    <t>HERVE-JOUSSE</t>
  </si>
  <si>
    <t>Odile</t>
  </si>
  <si>
    <t>HEYMANS</t>
  </si>
  <si>
    <t>Laura</t>
  </si>
  <si>
    <t>LAURENT</t>
  </si>
  <si>
    <t>Muriel</t>
  </si>
  <si>
    <t>LEGERE</t>
  </si>
  <si>
    <t>LENOBLE</t>
  </si>
  <si>
    <t>LEPERQUE</t>
  </si>
  <si>
    <t>Ophelie</t>
  </si>
  <si>
    <t>7309AR</t>
  </si>
  <si>
    <t>COCS</t>
  </si>
  <si>
    <t>LOPES</t>
  </si>
  <si>
    <t>MARTIN</t>
  </si>
  <si>
    <t>5402GE</t>
  </si>
  <si>
    <t>SCAPA NANCY</t>
  </si>
  <si>
    <t>Mireille</t>
  </si>
  <si>
    <t>5803BF</t>
  </si>
  <si>
    <t>NORD</t>
  </si>
  <si>
    <t>Prune</t>
  </si>
  <si>
    <t>MASTERSON</t>
  </si>
  <si>
    <t>Dave</t>
  </si>
  <si>
    <t>MERCIER</t>
  </si>
  <si>
    <t>Agnès</t>
  </si>
  <si>
    <t>MILEO</t>
  </si>
  <si>
    <t>Julien</t>
  </si>
  <si>
    <t>MONTAGARD</t>
  </si>
  <si>
    <t>MOREL</t>
  </si>
  <si>
    <t>Iwen</t>
  </si>
  <si>
    <t>MOULIERE</t>
  </si>
  <si>
    <t>Camille</t>
  </si>
  <si>
    <t>0207HF</t>
  </si>
  <si>
    <t>VervinsO</t>
  </si>
  <si>
    <t>NAEL</t>
  </si>
  <si>
    <t>9404IF</t>
  </si>
  <si>
    <t>AS IGN</t>
  </si>
  <si>
    <t>O'DONNELL</t>
  </si>
  <si>
    <t>Alan</t>
  </si>
  <si>
    <t>Eoin</t>
  </si>
  <si>
    <t>Clotilde</t>
  </si>
  <si>
    <t>2109BF</t>
  </si>
  <si>
    <t>A.S.Quetigny</t>
  </si>
  <si>
    <t>PIERRE</t>
  </si>
  <si>
    <t>PIGACHE</t>
  </si>
  <si>
    <t>Daniel</t>
  </si>
  <si>
    <t>RANOUX</t>
  </si>
  <si>
    <t>Margot</t>
  </si>
  <si>
    <t>REGNARD</t>
  </si>
  <si>
    <t>Maé</t>
  </si>
  <si>
    <t>RICHARD</t>
  </si>
  <si>
    <t>Yann</t>
  </si>
  <si>
    <t>RIOLLET</t>
  </si>
  <si>
    <t>ROULLEAUX</t>
  </si>
  <si>
    <t>Alain</t>
  </si>
  <si>
    <t>RUBY</t>
  </si>
  <si>
    <t>SERGEANT</t>
  </si>
  <si>
    <t>Dominique</t>
  </si>
  <si>
    <t>SOUCHOIS</t>
  </si>
  <si>
    <t>TALVAS</t>
  </si>
  <si>
    <t>Cyril</t>
  </si>
  <si>
    <t>THIBAUDAT</t>
  </si>
  <si>
    <t>Fabien</t>
  </si>
  <si>
    <t>THOUVENIN</t>
  </si>
  <si>
    <t>6106NM</t>
  </si>
  <si>
    <t>CO'ORNE ALENCON</t>
  </si>
  <si>
    <t>VAN HONACKER</t>
  </si>
  <si>
    <t>VERJUX</t>
  </si>
  <si>
    <t>VERPOOTEN</t>
  </si>
  <si>
    <t>Jean Manuel</t>
  </si>
  <si>
    <t>ANDRE</t>
  </si>
  <si>
    <t>C</t>
  </si>
  <si>
    <t>ANTOINE</t>
  </si>
  <si>
    <t>Christine</t>
  </si>
  <si>
    <t>AUTRAN</t>
  </si>
  <si>
    <t>Francis</t>
  </si>
  <si>
    <t>Marylise</t>
  </si>
  <si>
    <t>BARBOSA</t>
  </si>
  <si>
    <t>Céline</t>
  </si>
  <si>
    <t>Valérie</t>
  </si>
  <si>
    <t>BERTRAND</t>
  </si>
  <si>
    <t>BESSIERE</t>
  </si>
  <si>
    <t>Philip</t>
  </si>
  <si>
    <t>BOEHM</t>
  </si>
  <si>
    <t>BOUCHERIE</t>
  </si>
  <si>
    <t>Achille</t>
  </si>
  <si>
    <t>caroline</t>
  </si>
  <si>
    <t>louis</t>
  </si>
  <si>
    <t>BUCKLEU</t>
  </si>
  <si>
    <t>Fionn</t>
  </si>
  <si>
    <t>CARTON</t>
  </si>
  <si>
    <t>CHURCH</t>
  </si>
  <si>
    <t>Richard</t>
  </si>
  <si>
    <t>COGENT</t>
  </si>
  <si>
    <t>Corentin</t>
  </si>
  <si>
    <t>DE SMUL</t>
  </si>
  <si>
    <t>DE VAUCELLE</t>
  </si>
  <si>
    <t>Matthéo</t>
  </si>
  <si>
    <t>DUYCK</t>
  </si>
  <si>
    <t>An</t>
  </si>
  <si>
    <t>D</t>
  </si>
  <si>
    <t>EUDIER</t>
  </si>
  <si>
    <t>EUDIER-LOUVEL</t>
  </si>
  <si>
    <t>FEUVRIER</t>
  </si>
  <si>
    <t>FINAUD-GUYOT</t>
  </si>
  <si>
    <t>FLOQUET</t>
  </si>
  <si>
    <t>FRUCHART</t>
  </si>
  <si>
    <t>Léa</t>
  </si>
  <si>
    <t>GABRIEL</t>
  </si>
  <si>
    <t>3105OC</t>
  </si>
  <si>
    <t>TOAC Orientatio</t>
  </si>
  <si>
    <t>GARDEUR</t>
  </si>
  <si>
    <t>GAREL</t>
  </si>
  <si>
    <t>Mathieu</t>
  </si>
  <si>
    <t>GARNIER</t>
  </si>
  <si>
    <t>GARRAY</t>
  </si>
  <si>
    <t>Julius</t>
  </si>
  <si>
    <t>GASNOT</t>
  </si>
  <si>
    <t>GATTI</t>
  </si>
  <si>
    <t>GIL SILVEIRA</t>
  </si>
  <si>
    <t>GONSARD</t>
  </si>
  <si>
    <t>GRANGE</t>
  </si>
  <si>
    <t>GRENNAN</t>
  </si>
  <si>
    <t>Eanna</t>
  </si>
  <si>
    <t>HADJIANGELIS</t>
  </si>
  <si>
    <t>Sophie</t>
  </si>
  <si>
    <t>JOLLY</t>
  </si>
  <si>
    <t>JOLLY-JANSSON</t>
  </si>
  <si>
    <t>Sonia</t>
  </si>
  <si>
    <t>LAGORCE</t>
  </si>
  <si>
    <t>LANCRET</t>
  </si>
  <si>
    <t>Miti</t>
  </si>
  <si>
    <t>LELOUP</t>
  </si>
  <si>
    <t>7808IF</t>
  </si>
  <si>
    <t>ASMB-CO</t>
  </si>
  <si>
    <t>LOTERIE</t>
  </si>
  <si>
    <t>Jean-Francois</t>
  </si>
  <si>
    <t>LOUIS</t>
  </si>
  <si>
    <t>Anais</t>
  </si>
  <si>
    <t>LUCAS</t>
  </si>
  <si>
    <t>MARCHESIN</t>
  </si>
  <si>
    <t>Sylvie</t>
  </si>
  <si>
    <t>MARIENNE</t>
  </si>
  <si>
    <t>Tom</t>
  </si>
  <si>
    <t>Conor</t>
  </si>
  <si>
    <t>MONTILLA</t>
  </si>
  <si>
    <t>Mathilde</t>
  </si>
  <si>
    <t>MOULET</t>
  </si>
  <si>
    <t>2517BF</t>
  </si>
  <si>
    <t>OTB</t>
  </si>
  <si>
    <t>Marie-Hélène</t>
  </si>
  <si>
    <t>Kiara</t>
  </si>
  <si>
    <t>Liam</t>
  </si>
  <si>
    <t>PAILLARD</t>
  </si>
  <si>
    <t>Edme</t>
  </si>
  <si>
    <t>PAYET</t>
  </si>
  <si>
    <t>Nathan</t>
  </si>
  <si>
    <t>Elodie</t>
  </si>
  <si>
    <t>7715IF</t>
  </si>
  <si>
    <t>AS SAMOIS</t>
  </si>
  <si>
    <t>POTIER DE COURCY</t>
  </si>
  <si>
    <t>Stéphanie</t>
  </si>
  <si>
    <t>PREVOST</t>
  </si>
  <si>
    <t>Pascale</t>
  </si>
  <si>
    <t>Nathalie</t>
  </si>
  <si>
    <t>RICARD BORCHORST</t>
  </si>
  <si>
    <t>Clarissa</t>
  </si>
  <si>
    <t>ROBBE</t>
  </si>
  <si>
    <t>7723IF</t>
  </si>
  <si>
    <t>ANSA</t>
  </si>
  <si>
    <t>RODRIGUEZ VAZQUEZ</t>
  </si>
  <si>
    <t>Félix</t>
  </si>
  <si>
    <t>ROUX</t>
  </si>
  <si>
    <t>Mélanie</t>
  </si>
  <si>
    <t>SEGONDY</t>
  </si>
  <si>
    <t>SENTAGNE</t>
  </si>
  <si>
    <t>THENOZ</t>
  </si>
  <si>
    <t>Jérémie</t>
  </si>
  <si>
    <t>THOMASSIN</t>
  </si>
  <si>
    <t>VANSCHUYTBROECK</t>
  </si>
  <si>
    <t>Régis</t>
  </si>
  <si>
    <t>VOLKOV</t>
  </si>
  <si>
    <t>Andreï</t>
  </si>
  <si>
    <t>WIBART</t>
  </si>
  <si>
    <t>Hélier</t>
  </si>
  <si>
    <t>Martine</t>
  </si>
  <si>
    <t>AGALERIDIS</t>
  </si>
  <si>
    <t>Julie</t>
  </si>
  <si>
    <t>Laëtitia</t>
  </si>
  <si>
    <t>BENITO</t>
  </si>
  <si>
    <t>Ariel</t>
  </si>
  <si>
    <t>BOURGOIN</t>
  </si>
  <si>
    <t>Sylvain</t>
  </si>
  <si>
    <t>BOURRIER</t>
  </si>
  <si>
    <t>Marine</t>
  </si>
  <si>
    <t>BRETELLE</t>
  </si>
  <si>
    <t>Niamh</t>
  </si>
  <si>
    <t>CHANTELOUP</t>
  </si>
  <si>
    <t>Zélie</t>
  </si>
  <si>
    <t>Hamish</t>
  </si>
  <si>
    <t>Orla</t>
  </si>
  <si>
    <t>COP</t>
  </si>
  <si>
    <t>Goran</t>
  </si>
  <si>
    <t>COQUET</t>
  </si>
  <si>
    <t>Coralie</t>
  </si>
  <si>
    <t>COYLE</t>
  </si>
  <si>
    <t>Deirdre</t>
  </si>
  <si>
    <t>DEROSIN</t>
  </si>
  <si>
    <t>Gilles</t>
  </si>
  <si>
    <t>DESCHEPPER</t>
  </si>
  <si>
    <t>Ellen</t>
  </si>
  <si>
    <t>DEZILES</t>
  </si>
  <si>
    <t>DUCROUX</t>
  </si>
  <si>
    <t>B</t>
  </si>
  <si>
    <t>Riwal</t>
  </si>
  <si>
    <t>GERARDIN</t>
  </si>
  <si>
    <t>Marie-Pierre</t>
  </si>
  <si>
    <t>Carlos</t>
  </si>
  <si>
    <t>Isabelle</t>
  </si>
  <si>
    <t>GREVET</t>
  </si>
  <si>
    <t>Claudie</t>
  </si>
  <si>
    <t>GUERIN</t>
  </si>
  <si>
    <t>HAMON</t>
  </si>
  <si>
    <t>HAROUNA MANI</t>
  </si>
  <si>
    <t>Aboubacar</t>
  </si>
  <si>
    <t>HASSET</t>
  </si>
  <si>
    <t>Sadhbh</t>
  </si>
  <si>
    <t>HERTZOG</t>
  </si>
  <si>
    <t>ILLIEN</t>
  </si>
  <si>
    <t>JANSSON</t>
  </si>
  <si>
    <t>Jeanette</t>
  </si>
  <si>
    <t>KARPYN</t>
  </si>
  <si>
    <t>KORZEC</t>
  </si>
  <si>
    <t>Patricia</t>
  </si>
  <si>
    <t>Enora</t>
  </si>
  <si>
    <t>LEHAULT</t>
  </si>
  <si>
    <t>MAGNY</t>
  </si>
  <si>
    <t>MORISSEAU</t>
  </si>
  <si>
    <t>Lola</t>
  </si>
  <si>
    <t>Louise</t>
  </si>
  <si>
    <t>PALMANS</t>
  </si>
  <si>
    <t>Kristel</t>
  </si>
  <si>
    <t>POLLENNE</t>
  </si>
  <si>
    <t>Karine</t>
  </si>
  <si>
    <t>POUSSEL</t>
  </si>
  <si>
    <t>Laurence</t>
  </si>
  <si>
    <t>ROGUIEZ</t>
  </si>
  <si>
    <t>Timéo</t>
  </si>
  <si>
    <t>ROUSEREZ</t>
  </si>
  <si>
    <t>Annick</t>
  </si>
  <si>
    <t>Fionnuala</t>
  </si>
  <si>
    <t>SAILLARD</t>
  </si>
  <si>
    <t>Charlotte</t>
  </si>
  <si>
    <t>SCHELCHER</t>
  </si>
  <si>
    <t>Ginette</t>
  </si>
  <si>
    <t>STEPANOVA</t>
  </si>
  <si>
    <t>Elena</t>
  </si>
  <si>
    <t>Perrine</t>
  </si>
  <si>
    <t>THEVENON</t>
  </si>
  <si>
    <t>Lydie</t>
  </si>
  <si>
    <t>TIRBOIS</t>
  </si>
  <si>
    <t>Madeleine</t>
  </si>
  <si>
    <t>7719IF</t>
  </si>
  <si>
    <t>ERCO</t>
  </si>
  <si>
    <t>TOMASSI</t>
  </si>
  <si>
    <t>Jean Marc</t>
  </si>
  <si>
    <t>TONDU</t>
  </si>
  <si>
    <t>Alexandra</t>
  </si>
  <si>
    <t>VASILOI</t>
  </si>
  <si>
    <t>Nadejda</t>
  </si>
  <si>
    <t>WILLEMS</t>
  </si>
  <si>
    <t>ZHANG</t>
  </si>
  <si>
    <t>Felix</t>
  </si>
  <si>
    <t>BARBAZANGES</t>
  </si>
  <si>
    <t>E</t>
  </si>
  <si>
    <t>BEDUNEAU</t>
  </si>
  <si>
    <t>Alexis</t>
  </si>
  <si>
    <t>BELLECOURT</t>
  </si>
  <si>
    <t>Quentin</t>
  </si>
  <si>
    <t>BOUZAT</t>
  </si>
  <si>
    <t>Justine</t>
  </si>
  <si>
    <t>BRANTAGHEM</t>
  </si>
  <si>
    <t>Antonin</t>
  </si>
  <si>
    <t>BRUNEL</t>
  </si>
  <si>
    <t>Marie-Jo</t>
  </si>
  <si>
    <t>CHARDOT</t>
  </si>
  <si>
    <t>Ulrike</t>
  </si>
  <si>
    <t>Emilie</t>
  </si>
  <si>
    <t>DASILVA</t>
  </si>
  <si>
    <t>Auriane</t>
  </si>
  <si>
    <t>Irene</t>
  </si>
  <si>
    <t>DOUZENEL</t>
  </si>
  <si>
    <t>Gil</t>
  </si>
  <si>
    <t>Catherine</t>
  </si>
  <si>
    <t>GARIN</t>
  </si>
  <si>
    <t>GASPAR</t>
  </si>
  <si>
    <t>GRANSART</t>
  </si>
  <si>
    <t>Renaud</t>
  </si>
  <si>
    <t>2699AR</t>
  </si>
  <si>
    <t>INDIVIDUEL</t>
  </si>
  <si>
    <t>HAEYAERT</t>
  </si>
  <si>
    <t>Jorys</t>
  </si>
  <si>
    <t>HALLAY</t>
  </si>
  <si>
    <t>HEULLE</t>
  </si>
  <si>
    <t>Coline</t>
  </si>
  <si>
    <t>KHICH</t>
  </si>
  <si>
    <t>Laurie</t>
  </si>
  <si>
    <t>LE GUERN</t>
  </si>
  <si>
    <t>LOUAT</t>
  </si>
  <si>
    <t>Aime</t>
  </si>
  <si>
    <t>LUCAS-VIOU</t>
  </si>
  <si>
    <t>Aoife</t>
  </si>
  <si>
    <t>MERIGUET</t>
  </si>
  <si>
    <t>Valérie-Louise</t>
  </si>
  <si>
    <t>MICHEL</t>
  </si>
  <si>
    <t>Sebastien</t>
  </si>
  <si>
    <t>MOLINIER</t>
  </si>
  <si>
    <t>Frederique</t>
  </si>
  <si>
    <t>MONTACIE</t>
  </si>
  <si>
    <t>Victor</t>
  </si>
  <si>
    <t>MORAN</t>
  </si>
  <si>
    <t>NONDEDEO</t>
  </si>
  <si>
    <t>PAVOINE</t>
  </si>
  <si>
    <t>Morgane</t>
  </si>
  <si>
    <t>PERDRIAT</t>
  </si>
  <si>
    <t>Delphine</t>
  </si>
  <si>
    <t>8904BF</t>
  </si>
  <si>
    <t>CARTO</t>
  </si>
  <si>
    <t>PESON</t>
  </si>
  <si>
    <t>Charles</t>
  </si>
  <si>
    <t>REGNIER</t>
  </si>
  <si>
    <t>Corinne</t>
  </si>
  <si>
    <t>RIGOLLIER</t>
  </si>
  <si>
    <t>Maud</t>
  </si>
  <si>
    <t>Louisiane</t>
  </si>
  <si>
    <t>SCULO</t>
  </si>
  <si>
    <t>Romaon</t>
  </si>
  <si>
    <t>Sandra</t>
  </si>
  <si>
    <t>SEYLL</t>
  </si>
  <si>
    <t>SOL</t>
  </si>
  <si>
    <t>Michel</t>
  </si>
  <si>
    <t>TEMPIER</t>
  </si>
  <si>
    <t>Eugénie</t>
  </si>
  <si>
    <t>Frédérick</t>
  </si>
  <si>
    <t>9109IF</t>
  </si>
  <si>
    <t>COPS 91</t>
  </si>
  <si>
    <t>TRIPODI</t>
  </si>
  <si>
    <t>TROUILLER</t>
  </si>
  <si>
    <t>Apolline</t>
  </si>
  <si>
    <t>VETTIER</t>
  </si>
  <si>
    <t>Loic</t>
  </si>
  <si>
    <t>BILLOT</t>
  </si>
  <si>
    <t>BOULET</t>
  </si>
  <si>
    <t>Pass_L</t>
  </si>
  <si>
    <t>Pass Loisir</t>
  </si>
  <si>
    <t>Gabriel</t>
  </si>
  <si>
    <t>CALLEN</t>
  </si>
  <si>
    <t>DENIS</t>
  </si>
  <si>
    <t>DREANO</t>
  </si>
  <si>
    <t>Bérénice</t>
  </si>
  <si>
    <t>FEURTET</t>
  </si>
  <si>
    <t>Léo</t>
  </si>
  <si>
    <t>GANIOT</t>
  </si>
  <si>
    <t>Jethro</t>
  </si>
  <si>
    <t>GILBERT</t>
  </si>
  <si>
    <t>GILLES</t>
  </si>
  <si>
    <t>Chantal</t>
  </si>
  <si>
    <t>Pass_DC</t>
  </si>
  <si>
    <t>Pass Decouverte</t>
  </si>
  <si>
    <t>Solenn</t>
  </si>
  <si>
    <t>GOULEY</t>
  </si>
  <si>
    <t>Claudine</t>
  </si>
  <si>
    <t>HOULET-CASTERA</t>
  </si>
  <si>
    <t>Tilio</t>
  </si>
  <si>
    <t>LAIGNEL</t>
  </si>
  <si>
    <t>Agathe</t>
  </si>
  <si>
    <t>LARCHER-PROVOST</t>
  </si>
  <si>
    <t>Lisette</t>
  </si>
  <si>
    <t>LAURENS-BERGE</t>
  </si>
  <si>
    <t>LEBRU</t>
  </si>
  <si>
    <t>Pauline</t>
  </si>
  <si>
    <t>LECAPLAIN</t>
  </si>
  <si>
    <t>LORY</t>
  </si>
  <si>
    <t>Tiana</t>
  </si>
  <si>
    <t>MARTEL</t>
  </si>
  <si>
    <t>Rose-Marie</t>
  </si>
  <si>
    <t>PELLERIN</t>
  </si>
  <si>
    <t>Garance</t>
  </si>
  <si>
    <t>PERSYN</t>
  </si>
  <si>
    <t>Hélène</t>
  </si>
  <si>
    <t>Leander</t>
  </si>
  <si>
    <t>Eléonore</t>
  </si>
  <si>
    <t>SERRIERE</t>
  </si>
  <si>
    <t>THIEBAUT</t>
  </si>
  <si>
    <t>Evelyne</t>
  </si>
  <si>
    <t>YANG</t>
  </si>
  <si>
    <t>Cyntia</t>
  </si>
  <si>
    <t>ZAUGG</t>
  </si>
  <si>
    <t>Gloria</t>
  </si>
  <si>
    <t>ZYLA</t>
  </si>
  <si>
    <t>Léna</t>
  </si>
  <si>
    <t>G</t>
  </si>
  <si>
    <t>Ivan</t>
  </si>
  <si>
    <t>COROLLO</t>
  </si>
  <si>
    <t>GANNE ANGELI</t>
  </si>
  <si>
    <t>Alma</t>
  </si>
  <si>
    <t>Joan</t>
  </si>
  <si>
    <t>LUCAS VIOU</t>
  </si>
  <si>
    <t>Jules</t>
  </si>
  <si>
    <t>MAURIES DENAT</t>
  </si>
  <si>
    <t>Théo</t>
  </si>
  <si>
    <t>ROQUET</t>
  </si>
  <si>
    <t>Alix</t>
  </si>
  <si>
    <t>Florence</t>
  </si>
  <si>
    <t>AF</t>
  </si>
  <si>
    <t>BLUM</t>
  </si>
  <si>
    <t>Virginie</t>
  </si>
  <si>
    <t>BOUCHE</t>
  </si>
  <si>
    <t>CHASLES</t>
  </si>
  <si>
    <t>Aurélie</t>
  </si>
  <si>
    <t>CLOUARD</t>
  </si>
  <si>
    <t>Lucile</t>
  </si>
  <si>
    <t>DELCOURT</t>
  </si>
  <si>
    <t>Lucie</t>
  </si>
  <si>
    <t>DUQUENNE</t>
  </si>
  <si>
    <t>Audrey</t>
  </si>
  <si>
    <t>LABARRE</t>
  </si>
  <si>
    <t>Maria</t>
  </si>
  <si>
    <t>LELEU</t>
  </si>
  <si>
    <t>LEONARD</t>
  </si>
  <si>
    <t>Rosemonde</t>
  </si>
  <si>
    <t>MULLER</t>
  </si>
  <si>
    <t>Josephine</t>
  </si>
  <si>
    <t>OLIVIER</t>
  </si>
  <si>
    <t>RAUW</t>
  </si>
  <si>
    <t>Magali</t>
  </si>
  <si>
    <t>RINTJEMA</t>
  </si>
  <si>
    <t>Carole</t>
  </si>
  <si>
    <t>6911AR</t>
  </si>
  <si>
    <t>ASUL SPORTS NAT</t>
  </si>
  <si>
    <t>RUDKIEWICZ</t>
  </si>
  <si>
    <t>Valentine</t>
  </si>
  <si>
    <t>TAISSON</t>
  </si>
  <si>
    <t>Fanny</t>
  </si>
  <si>
    <t>VAN DE VELDE</t>
  </si>
  <si>
    <t>Liesbeth</t>
  </si>
  <si>
    <t>VANEL</t>
  </si>
  <si>
    <t>Elise</t>
  </si>
  <si>
    <t>VARRON</t>
  </si>
  <si>
    <t>Stephanie</t>
  </si>
  <si>
    <t>Étiquettes de lignes</t>
  </si>
  <si>
    <t>(vide)</t>
  </si>
  <si>
    <t>Total général</t>
  </si>
  <si>
    <t>Nombre de NOM</t>
  </si>
  <si>
    <t>OK: 1 inscrit dans NL était déjà dans Licencié</t>
  </si>
  <si>
    <t>Dans fichier FFCO</t>
  </si>
  <si>
    <t>Fichier Non licencié + militaires</t>
  </si>
  <si>
    <t xml:space="preserve">OK </t>
  </si>
  <si>
    <t>a rajouter  2 NL</t>
  </si>
  <si>
    <t>A Homme + Femme</t>
  </si>
  <si>
    <t>OK</t>
  </si>
  <si>
    <t>Dans OE</t>
  </si>
  <si>
    <t>TOTAL</t>
  </si>
  <si>
    <t>N° de licence</t>
  </si>
  <si>
    <t>A dames</t>
  </si>
  <si>
    <t>Puce non conforme</t>
  </si>
  <si>
    <t>N°CLUB</t>
  </si>
  <si>
    <t>CIRCUIT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</si>
</sst>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4" fillId="0" borderId="12" xfId="0" applyFont="1" applyBorder="1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DCO 77" refreshedDate="45271.903027083332" createdVersion="3" refreshedVersion="3" minRefreshableVersion="3" recordCount="477">
  <cacheSource type="worksheet">
    <worksheetSource ref="A1:G1048576" sheet="Categorie LD"/>
  </cacheSource>
  <cacheFields count="61">
    <cacheField name="OE0001_V12" numFmtId="0">
      <sharedItems containsNonDate="0" containsString="0" containsBlank="1"/>
    </cacheField>
    <cacheField name="Ident. Inscription" numFmtId="0">
      <sharedItems containsNonDate="0" containsString="0" containsBlank="1"/>
    </cacheField>
    <cacheField name="Doss." numFmtId="0">
      <sharedItems containsNonDate="0" containsString="0" containsBlank="1"/>
    </cacheField>
    <cacheField name="X No" numFmtId="0">
      <sharedItems containsNonDate="0" containsString="0" containsBlank="1"/>
    </cacheField>
    <cacheField name="No puce" numFmtId="0">
      <sharedItems containsString="0" containsBlank="1" containsNumber="1" containsInteger="1" minValue="31398" maxValue="9999777"/>
    </cacheField>
    <cacheField name="Ident. base de données" numFmtId="0">
      <sharedItems containsString="0" containsBlank="1" containsNumber="1" containsInteger="1" minValue="878" maxValue="845210"/>
    </cacheField>
    <cacheField name="Ident. IOF" numFmtId="0">
      <sharedItems containsString="0" containsBlank="1" containsNumber="1" containsInteger="1" minValue="0" maxValue="0"/>
    </cacheField>
    <cacheField name="NOM" numFmtId="0">
      <sharedItems containsBlank="1"/>
    </cacheField>
    <cacheField name="Prénom" numFmtId="0">
      <sharedItems containsBlank="1"/>
    </cacheField>
    <cacheField name="Né en" numFmtId="0">
      <sharedItems containsNonDate="0" containsString="0" containsBlank="1"/>
    </cacheField>
    <cacheField name="Né" numFmtId="0">
      <sharedItems containsString="0" containsBlank="1" containsNumber="1" containsInteger="1" minValue="1946" maxValue="2015"/>
    </cacheField>
    <cacheField name="S" numFmtId="0">
      <sharedItems containsBlank="1"/>
    </cacheField>
    <cacheField name="Bloc" numFmtId="0">
      <sharedItems containsNonDate="0" containsString="0" containsBlank="1"/>
    </cacheField>
    <cacheField name="nc" numFmtId="0">
      <sharedItems containsString="0" containsBlank="1" containsNumber="1" containsInteger="1" minValue="0" maxValue="0"/>
    </cacheField>
    <cacheField name="Départ" numFmtId="0">
      <sharedItems containsNonDate="0" containsString="0" containsBlank="1"/>
    </cacheField>
    <cacheField name="Arrivée" numFmtId="0">
      <sharedItems containsNonDate="0" containsString="0" containsBlank="1"/>
    </cacheField>
    <cacheField name="Temps" numFmtId="0">
      <sharedItems containsNonDate="0" containsString="0" containsBlank="1"/>
    </cacheField>
    <cacheField name="Classer" numFmtId="0">
      <sharedItems containsString="0" containsBlank="1" containsNumber="1" containsInteger="1" minValue="0" maxValue="0"/>
    </cacheField>
    <cacheField name="Bonification -" numFmtId="0">
      <sharedItems containsNonDate="0" containsString="0" containsBlank="1"/>
    </cacheField>
    <cacheField name="Pénalité +" numFmtId="0">
      <sharedItems containsNonDate="0" containsString="0" containsBlank="1"/>
    </cacheField>
    <cacheField name="Commentaire" numFmtId="0">
      <sharedItems containsNonDate="0" containsString="0" containsBlank="1"/>
    </cacheField>
    <cacheField name="No club" numFmtId="0">
      <sharedItems containsString="0" containsBlank="1" containsNumber="1" containsInteger="1" minValue="111" maxValue="90004"/>
    </cacheField>
    <cacheField name="Nom club" numFmtId="0">
      <sharedItems containsBlank="1"/>
    </cacheField>
    <cacheField name="Ville" numFmtId="0">
      <sharedItems containsBlank="1"/>
    </cacheField>
    <cacheField name="Nat" numFmtId="0">
      <sharedItems containsBlank="1"/>
    </cacheField>
    <cacheField name="Groupe" numFmtId="0">
      <sharedItems containsNonDate="0" containsString="0" containsBlank="1"/>
    </cacheField>
    <cacheField name="Région" numFmtId="0">
      <sharedItems containsNonDate="0" containsString="0" containsBlank="1"/>
    </cacheField>
    <cacheField name="No catg." numFmtId="0">
      <sharedItems containsString="0" containsBlank="1" containsNumber="1" containsInteger="1" minValue="200" maxValue="207"/>
    </cacheField>
    <cacheField name="Catg. Court" numFmtId="0">
      <sharedItems containsBlank="1" count="9">
        <s v="A"/>
        <s v=" B"/>
        <s v="C"/>
        <s v="D"/>
        <s v="E"/>
        <s v="F"/>
        <s v="G"/>
        <s v="AF"/>
        <m/>
      </sharedItems>
    </cacheField>
    <cacheField name="Catg. Long" numFmtId="0">
      <sharedItems containsBlank="1"/>
    </cacheField>
    <cacheField name="No Catg. Inscription" numFmtId="0">
      <sharedItems containsString="0" containsBlank="1" containsNumber="1" containsInteger="1" minValue="200" maxValue="207"/>
    </cacheField>
    <cacheField name="Catg. d'inscription (court)" numFmtId="0">
      <sharedItems containsBlank="1"/>
    </cacheField>
    <cacheField name="Catg. d'inscription (long)" numFmtId="0">
      <sharedItems containsBlank="1"/>
    </cacheField>
    <cacheField name="Ranking" numFmtId="0">
      <sharedItems containsNonDate="0" containsString="0" containsBlank="1"/>
    </cacheField>
    <cacheField name="Points Ranking" numFmtId="0">
      <sharedItems containsNonDate="0" containsString="0" containsBlank="1"/>
    </cacheField>
    <cacheField name="Num1" numFmtId="0">
      <sharedItems containsNonDate="0" containsString="0" containsBlank="1"/>
    </cacheField>
    <cacheField name="Num2" numFmtId="0">
      <sharedItems containsNonDate="0" containsString="0" containsBlank="1"/>
    </cacheField>
    <cacheField name="Num3" numFmtId="0">
      <sharedItems containsNonDate="0" containsString="0" containsBlank="1"/>
    </cacheField>
    <cacheField name="Text1" numFmtId="0">
      <sharedItems containsNonDate="0" containsString="0" containsBlank="1"/>
    </cacheField>
    <cacheField name="Text2" numFmtId="0">
      <sharedItems containsBlank="1"/>
    </cacheField>
    <cacheField name="Text3" numFmtId="0">
      <sharedItems containsNonDate="0" containsString="0" containsBlank="1"/>
    </cacheField>
    <cacheField name="Adr. nom de famille" numFmtId="0">
      <sharedItems containsNonDate="0" containsString="0" containsBlank="1"/>
    </cacheField>
    <cacheField name="Adr. prénom" numFmtId="0">
      <sharedItems containsString="0" containsBlank="1" containsNumber="1" containsInteger="1" minValue="0" maxValue="0"/>
    </cacheField>
    <cacheField name="Rue" numFmtId="0">
      <sharedItems containsString="0" containsBlank="1" containsNumber="1" containsInteger="1" minValue="0" maxValue="0"/>
    </cacheField>
    <cacheField name="Ligne2" numFmtId="0">
      <sharedItems containsNonDate="0" containsString="0" containsBlank="1"/>
    </cacheField>
    <cacheField name="CP" numFmtId="0">
      <sharedItems containsString="0" containsBlank="1" containsNumber="1" containsInteger="1" minValue="0" maxValue="0"/>
    </cacheField>
    <cacheField name="Adr. ville" numFmtId="0">
      <sharedItems containsString="0" containsBlank="1" containsNumber="1" containsInteger="1" minValue="0" maxValue="0"/>
    </cacheField>
    <cacheField name="Tél." numFmtId="0">
      <sharedItems containsNonDate="0" containsString="0" containsBlank="1"/>
    </cacheField>
    <cacheField name="Mobile" numFmtId="0">
      <sharedItems containsNonDate="0" containsString="0" containsBlank="1"/>
    </cacheField>
    <cacheField name="Fax" numFmtId="0">
      <sharedItems containsNonDate="0" containsString="0" containsBlank="1"/>
    </cacheField>
    <cacheField name="Email" numFmtId="0">
      <sharedItems containsString="0" containsBlank="1" containsNumber="1" containsInteger="1" minValue="0" maxValue="0"/>
    </cacheField>
    <cacheField name="Louée" numFmtId="0">
      <sharedItems containsBlank="1" containsMixedTypes="1" containsNumber="1" containsInteger="1" minValue="0" maxValue="0"/>
    </cacheField>
    <cacheField name="Tarif inscription" numFmtId="0">
      <sharedItems containsString="0" containsBlank="1" containsNumber="1" containsInteger="1" minValue="0" maxValue="0"/>
    </cacheField>
    <cacheField name="Payé" numFmtId="0">
      <sharedItems containsString="0" containsBlank="1" containsNumber="1" containsInteger="1" minValue="0" maxValue="0"/>
    </cacheField>
    <cacheField name="Equipe id" numFmtId="0">
      <sharedItems containsNonDate="0" containsString="0" containsBlank="1"/>
    </cacheField>
    <cacheField name="Nom d'équipe" numFmtId="0">
      <sharedItems containsNonDate="0" containsString="0" containsBlank="1"/>
    </cacheField>
    <cacheField name="No circuit" numFmtId="0">
      <sharedItems containsString="0" containsBlank="1" containsNumber="1" containsInteger="1" minValue="9001" maxValue="9007"/>
    </cacheField>
    <cacheField name="Circuit" numFmtId="0">
      <sharedItems containsBlank="1"/>
    </cacheField>
    <cacheField name="km" numFmtId="0">
      <sharedItems containsString="0" containsBlank="1" containsNumber="1" minValue="2.8" maxValue="10.7"/>
    </cacheField>
    <cacheField name="m" numFmtId="0">
      <sharedItems containsNonDate="0" containsString="0" containsBlank="1"/>
    </cacheField>
    <cacheField name="Postes du circuit" numFmtId="0">
      <sharedItems containsString="0" containsBlank="1" containsNumber="1" containsInteger="1" minValue="11" maxValue="7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7">
  <r>
    <m/>
    <m/>
    <m/>
    <m/>
    <n v="8638375"/>
    <m/>
    <m/>
    <s v="ANCIAUX"/>
    <s v="Benjamin"/>
    <m/>
    <n v="1986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270596"/>
    <n v="32319"/>
    <m/>
    <s v="BACHEL"/>
    <s v="Thomas"/>
    <m/>
    <n v="1996"/>
    <s v="M"/>
    <m/>
    <n v="0"/>
    <m/>
    <m/>
    <m/>
    <n v="0"/>
    <m/>
    <m/>
    <m/>
    <n v="5703"/>
    <s v="5703GE"/>
    <s v="T.A. FAMECK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711130"/>
    <m/>
    <m/>
    <s v="BARBIER"/>
    <s v="Christophe"/>
    <m/>
    <n v="1971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m/>
    <m/>
    <m/>
    <s v="BAVIERE"/>
    <s v="Pierre-Emmanuel"/>
    <m/>
    <n v="2002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s v="X"/>
    <n v="0"/>
    <n v="0"/>
    <m/>
    <m/>
    <n v="9001"/>
    <s v="9001: 65 - 128"/>
    <m/>
    <m/>
    <n v="77"/>
  </r>
  <r>
    <m/>
    <m/>
    <m/>
    <m/>
    <n v="8000187"/>
    <n v="28536"/>
    <m/>
    <s v="BEAUVISAGE"/>
    <s v="Bruno"/>
    <m/>
    <n v="1965"/>
    <s v="M"/>
    <m/>
    <n v="0"/>
    <m/>
    <m/>
    <m/>
    <n v="0"/>
    <m/>
    <m/>
    <m/>
    <n v="7604"/>
    <s v="7604NM"/>
    <s v="ALBEOrientation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2116"/>
    <n v="37945"/>
    <m/>
    <s v="BESSON"/>
    <s v="David"/>
    <m/>
    <n v="1976"/>
    <s v="M"/>
    <m/>
    <n v="0"/>
    <m/>
    <m/>
    <m/>
    <n v="0"/>
    <m/>
    <m/>
    <m/>
    <n v="4504"/>
    <s v="4504CE"/>
    <s v="ASCO ORLEANS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00299"/>
    <n v="17308"/>
    <m/>
    <s v="BESTEL"/>
    <s v="Arnault"/>
    <m/>
    <n v="1999"/>
    <s v="M"/>
    <m/>
    <n v="0"/>
    <m/>
    <m/>
    <m/>
    <n v="0"/>
    <m/>
    <m/>
    <m/>
    <n v="9105"/>
    <s v="9105IF"/>
    <s v="COLE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90571"/>
    <n v="9601"/>
    <m/>
    <s v="BESTEL"/>
    <s v="Thierry"/>
    <m/>
    <n v="1971"/>
    <s v="M"/>
    <m/>
    <n v="0"/>
    <m/>
    <m/>
    <m/>
    <n v="0"/>
    <m/>
    <m/>
    <m/>
    <n v="9105"/>
    <s v="9105IF"/>
    <s v="COLE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65200"/>
    <n v="10889"/>
    <m/>
    <s v="BORDENAVE"/>
    <s v="Claude"/>
    <m/>
    <n v="1970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n v="28477"/>
    <m/>
    <s v="BOUCHART"/>
    <s v="Hugo"/>
    <m/>
    <n v="2002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s v="X"/>
    <n v="0"/>
    <n v="0"/>
    <m/>
    <m/>
    <n v="9001"/>
    <s v="9001: 65 - 128"/>
    <m/>
    <m/>
    <n v="77"/>
  </r>
  <r>
    <m/>
    <m/>
    <m/>
    <m/>
    <n v="8062811"/>
    <n v="42623"/>
    <m/>
    <s v="BOUQUILLION"/>
    <s v="Maxime"/>
    <m/>
    <n v="1995"/>
    <s v="M"/>
    <m/>
    <n v="0"/>
    <m/>
    <m/>
    <m/>
    <n v="0"/>
    <m/>
    <m/>
    <m/>
    <n v="6208"/>
    <s v="6208HF"/>
    <s v="B.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00880"/>
    <n v="32593"/>
    <m/>
    <s v="BOUSSAC"/>
    <s v="Nicolas"/>
    <m/>
    <n v="1980"/>
    <s v="M"/>
    <m/>
    <n v="0"/>
    <m/>
    <m/>
    <m/>
    <n v="0"/>
    <m/>
    <m/>
    <m/>
    <n v="4504"/>
    <s v="4504CE"/>
    <s v="ASCO ORLEANS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31097"/>
    <n v="12776"/>
    <m/>
    <s v="BOUSSER"/>
    <s v="Thomas"/>
    <m/>
    <n v="1997"/>
    <s v="M"/>
    <m/>
    <n v="0"/>
    <m/>
    <m/>
    <m/>
    <n v="0"/>
    <m/>
    <m/>
    <m/>
    <n v="5703"/>
    <s v="5703GE"/>
    <s v="T.A. FAMECK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2209"/>
    <n v="38485"/>
    <m/>
    <s v="BROCHOT"/>
    <s v="Rémi"/>
    <m/>
    <n v="2007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71799"/>
    <n v="28424"/>
    <m/>
    <s v="CALBO"/>
    <s v="Frédéric"/>
    <m/>
    <n v="1974"/>
    <s v="M"/>
    <m/>
    <n v="0"/>
    <m/>
    <m/>
    <m/>
    <n v="0"/>
    <m/>
    <m/>
    <m/>
    <n v="7205"/>
    <s v="7205PL"/>
    <s v="LMA 72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575007"/>
    <n v="26790"/>
    <m/>
    <s v="CHAREYRE"/>
    <s v="Valentin"/>
    <m/>
    <n v="1992"/>
    <s v="M"/>
    <m/>
    <n v="0"/>
    <m/>
    <m/>
    <m/>
    <n v="0"/>
    <m/>
    <m/>
    <m/>
    <n v="2108"/>
    <s v="2108BF"/>
    <s v="Talant S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m/>
    <m/>
    <s v="CHELIN"/>
    <s v="Morgan"/>
    <m/>
    <n v="1986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s v="X"/>
    <n v="0"/>
    <n v="0"/>
    <m/>
    <m/>
    <n v="9001"/>
    <s v="9001: 65 - 128"/>
    <m/>
    <m/>
    <n v="77"/>
  </r>
  <r>
    <m/>
    <m/>
    <m/>
    <m/>
    <n v="7005901"/>
    <n v="24859"/>
    <n v="0"/>
    <s v="CLERTON"/>
    <s v="Anthony"/>
    <m/>
    <n v="1996"/>
    <s v="M"/>
    <m/>
    <n v="0"/>
    <m/>
    <m/>
    <m/>
    <n v="0"/>
    <m/>
    <m/>
    <m/>
    <n v="7512"/>
    <s v="7512IF"/>
    <s v="RO'Paris"/>
    <s v="FR"/>
    <m/>
    <m/>
    <n v="200"/>
    <x v="0"/>
    <s v="A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7921111"/>
    <n v="37825"/>
    <n v="0"/>
    <s v="CREMIERE"/>
    <s v="Benoit"/>
    <m/>
    <n v="1980"/>
    <s v="M"/>
    <m/>
    <n v="0"/>
    <m/>
    <m/>
    <m/>
    <n v="0"/>
    <m/>
    <m/>
    <m/>
    <n v="9211"/>
    <s v="9211IF"/>
    <s v="DSA"/>
    <s v="FR"/>
    <m/>
    <m/>
    <n v="200"/>
    <x v="0"/>
    <s v="A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1620501"/>
    <n v="13271"/>
    <m/>
    <s v="CZERNIAK"/>
    <s v="Jérôme"/>
    <m/>
    <n v="1973"/>
    <s v="M"/>
    <m/>
    <n v="0"/>
    <m/>
    <m/>
    <m/>
    <n v="0"/>
    <m/>
    <m/>
    <m/>
    <n v="6205"/>
    <s v="6205HF"/>
    <s v="O²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1949"/>
    <n v="19344"/>
    <m/>
    <s v="DAEM"/>
    <s v="Adriaan"/>
    <m/>
    <n v="1975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10609"/>
    <n v="12916"/>
    <n v="0"/>
    <s v="DANIEL"/>
    <s v="Igor"/>
    <m/>
    <n v="1975"/>
    <s v="M"/>
    <m/>
    <n v="0"/>
    <m/>
    <m/>
    <m/>
    <n v="0"/>
    <m/>
    <m/>
    <m/>
    <n v="1905"/>
    <s v="1905NA"/>
    <s v="BriveCorrèzeCO"/>
    <s v="Fra"/>
    <m/>
    <m/>
    <n v="200"/>
    <x v="0"/>
    <s v="A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71977"/>
    <n v="34441"/>
    <m/>
    <s v="DAVID"/>
    <s v="Eric"/>
    <m/>
    <n v="1977"/>
    <s v="M"/>
    <m/>
    <n v="0"/>
    <m/>
    <m/>
    <m/>
    <n v="0"/>
    <m/>
    <m/>
    <m/>
    <n v="4504"/>
    <s v="4504CE"/>
    <s v="ASCO ORLEANS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383240"/>
    <m/>
    <m/>
    <s v="DE CLERCQ"/>
    <s v="Rune"/>
    <m/>
    <n v="2005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15192"/>
    <m/>
    <m/>
    <s v="DE OLIVEIRA"/>
    <s v="Jerome"/>
    <m/>
    <n v="1978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08963"/>
    <n v="36696"/>
    <m/>
    <s v="DEES"/>
    <s v="Alexandre"/>
    <m/>
    <n v="1989"/>
    <s v="M"/>
    <m/>
    <n v="0"/>
    <m/>
    <m/>
    <m/>
    <n v="0"/>
    <m/>
    <m/>
    <m/>
    <n v="6008"/>
    <s v="6008HF"/>
    <s v="NOYON C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517482"/>
    <n v="35478"/>
    <m/>
    <s v="DELORME"/>
    <s v="Baptiste"/>
    <m/>
    <n v="2005"/>
    <s v="M"/>
    <m/>
    <n v="0"/>
    <m/>
    <m/>
    <m/>
    <n v="0"/>
    <m/>
    <m/>
    <m/>
    <n v="7707"/>
    <s v="7707IF"/>
    <s v="OPA MONTIGN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664185"/>
    <m/>
    <m/>
    <s v="DEMBLON"/>
    <s v="Florian"/>
    <m/>
    <n v="1990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02207"/>
    <n v="35404"/>
    <m/>
    <s v="DERLOT"/>
    <s v="Antoine"/>
    <m/>
    <n v="2005"/>
    <s v="M"/>
    <m/>
    <n v="0"/>
    <m/>
    <m/>
    <m/>
    <n v="0"/>
    <m/>
    <m/>
    <m/>
    <n v="7707"/>
    <s v="7707IF"/>
    <s v="OPA MONTIGN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n v="35405"/>
    <m/>
    <s v="DERLOT"/>
    <s v="Damien"/>
    <m/>
    <n v="1975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s v="X"/>
    <n v="0"/>
    <n v="0"/>
    <m/>
    <m/>
    <n v="9001"/>
    <s v="9001: 65 - 128"/>
    <m/>
    <m/>
    <n v="77"/>
  </r>
  <r>
    <m/>
    <m/>
    <m/>
    <m/>
    <n v="7670121"/>
    <n v="11719"/>
    <m/>
    <s v="DEROBERT-MAZURE"/>
    <s v="Jean-Charles"/>
    <m/>
    <n v="1967"/>
    <s v="M"/>
    <m/>
    <n v="0"/>
    <m/>
    <m/>
    <m/>
    <n v="0"/>
    <m/>
    <m/>
    <m/>
    <n v="6307"/>
    <s v="6307AR"/>
    <s v="Balise 63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9090989"/>
    <n v="2171"/>
    <m/>
    <s v="DEVILLERS"/>
    <s v="Christophe"/>
    <m/>
    <n v="1966"/>
    <s v="M"/>
    <m/>
    <n v="0"/>
    <m/>
    <m/>
    <m/>
    <n v="0"/>
    <m/>
    <m/>
    <m/>
    <n v="9209"/>
    <s v="9209IF"/>
    <s v="Raid-Up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512614"/>
    <n v="45107"/>
    <m/>
    <s v="DI STEFANO"/>
    <s v="Sébastien"/>
    <m/>
    <n v="2000"/>
    <s v="M"/>
    <m/>
    <n v="0"/>
    <m/>
    <m/>
    <m/>
    <n v="0"/>
    <m/>
    <m/>
    <m/>
    <n v="6008"/>
    <s v="6008HF"/>
    <s v="NOYON C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40601"/>
    <n v="31471"/>
    <m/>
    <s v="DIVAY"/>
    <s v="Maxime"/>
    <m/>
    <n v="1996"/>
    <s v="M"/>
    <m/>
    <n v="0"/>
    <m/>
    <m/>
    <m/>
    <n v="0"/>
    <m/>
    <m/>
    <m/>
    <n v="1406"/>
    <s v="1406NM"/>
    <s v="vir'king raid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010282"/>
    <m/>
    <m/>
    <s v="DUBOIS"/>
    <s v="Hervé"/>
    <m/>
    <n v="1970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9000978"/>
    <n v="12558"/>
    <m/>
    <s v="DUBOIS"/>
    <s v="Philippe"/>
    <m/>
    <n v="1959"/>
    <s v="M"/>
    <m/>
    <n v="0"/>
    <m/>
    <m/>
    <m/>
    <n v="0"/>
    <m/>
    <m/>
    <m/>
    <n v="7709"/>
    <s v="7709IF"/>
    <s v="USM/C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508821"/>
    <n v="20384"/>
    <m/>
    <s v="DUTERAGE"/>
    <s v="Christian"/>
    <m/>
    <n v="1966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52006"/>
    <n v="36749"/>
    <m/>
    <s v="DUYME"/>
    <s v="Baptiste"/>
    <m/>
    <n v="2006"/>
    <s v="M"/>
    <m/>
    <n v="0"/>
    <m/>
    <m/>
    <m/>
    <n v="0"/>
    <m/>
    <m/>
    <m/>
    <n v="5116"/>
    <s v="5116GE"/>
    <s v="ASO Siller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310773"/>
    <n v="38497"/>
    <m/>
    <s v="DUYME"/>
    <s v="Olivier"/>
    <m/>
    <n v="1973"/>
    <s v="M"/>
    <m/>
    <n v="0"/>
    <m/>
    <m/>
    <m/>
    <n v="0"/>
    <m/>
    <m/>
    <m/>
    <n v="5116"/>
    <s v="5116GE"/>
    <s v="ASO Siller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80686"/>
    <n v="14285"/>
    <m/>
    <s v="ESTHER"/>
    <s v="Nicolas"/>
    <m/>
    <n v="1986"/>
    <s v="M"/>
    <m/>
    <n v="0"/>
    <m/>
    <m/>
    <m/>
    <n v="0"/>
    <m/>
    <m/>
    <m/>
    <n v="3705"/>
    <s v="3705CE"/>
    <s v="COTS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779777"/>
    <n v="3194"/>
    <m/>
    <s v="ESTIVAL"/>
    <s v="Jean-Luc"/>
    <m/>
    <n v="1959"/>
    <s v="M"/>
    <m/>
    <n v="0"/>
    <m/>
    <m/>
    <m/>
    <n v="0"/>
    <m/>
    <m/>
    <m/>
    <n v="7709"/>
    <s v="7709IF"/>
    <s v="USM/C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62832"/>
    <n v="13756"/>
    <m/>
    <s v="FLANDRIN"/>
    <s v="Gautier"/>
    <m/>
    <n v="1976"/>
    <s v="M"/>
    <m/>
    <n v="0"/>
    <m/>
    <m/>
    <m/>
    <n v="0"/>
    <m/>
    <m/>
    <m/>
    <n v="6208"/>
    <s v="6208HF"/>
    <s v="B.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40198"/>
    <n v="26803"/>
    <n v="0"/>
    <s v="FRADET"/>
    <s v="Adrien"/>
    <m/>
    <n v="1998"/>
    <s v="M"/>
    <m/>
    <n v="0"/>
    <m/>
    <m/>
    <m/>
    <n v="0"/>
    <m/>
    <m/>
    <m/>
    <n v="1905"/>
    <s v="1905NA"/>
    <s v="BriveCorrèzeCO"/>
    <s v="Fra"/>
    <m/>
    <m/>
    <n v="200"/>
    <x v="0"/>
    <s v="A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141081"/>
    <n v="25042"/>
    <m/>
    <s v="GASTINEAU"/>
    <s v="Guillaume"/>
    <m/>
    <n v="1981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2058"/>
    <n v="3719"/>
    <m/>
    <s v="GEROMEY"/>
    <s v="Jean-Pierre"/>
    <m/>
    <n v="1972"/>
    <s v="M"/>
    <m/>
    <n v="0"/>
    <m/>
    <m/>
    <m/>
    <n v="0"/>
    <m/>
    <m/>
    <m/>
    <n v="8813"/>
    <s v="8813GE"/>
    <s v="Terres d'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51224"/>
    <n v="2151"/>
    <m/>
    <s v="GILLARD"/>
    <s v="Hugues"/>
    <m/>
    <n v="1964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1980"/>
    <n v="21231"/>
    <m/>
    <s v="GILLARD"/>
    <s v="Lucas"/>
    <m/>
    <n v="2004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6142"/>
    <m/>
    <m/>
    <s v="GILLET"/>
    <s v="Jean-Marc"/>
    <m/>
    <n v="1970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28012"/>
    <n v="37363"/>
    <n v="0"/>
    <s v="GIRET"/>
    <s v="NICOLAS"/>
    <m/>
    <n v="1974"/>
    <s v="M"/>
    <m/>
    <n v="0"/>
    <m/>
    <m/>
    <m/>
    <n v="0"/>
    <m/>
    <m/>
    <m/>
    <n v="2801"/>
    <s v="2801CE"/>
    <s v="ESPAD"/>
    <s v="Fra"/>
    <m/>
    <m/>
    <n v="200"/>
    <x v="0"/>
    <s v="A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770797"/>
    <n v="13926"/>
    <m/>
    <s v="GODEFROY"/>
    <s v="Simon"/>
    <m/>
    <n v="1997"/>
    <s v="M"/>
    <m/>
    <n v="0"/>
    <m/>
    <m/>
    <m/>
    <n v="0"/>
    <m/>
    <m/>
    <m/>
    <n v="7707"/>
    <s v="7707IF"/>
    <s v="OPA MONTIGN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00371"/>
    <n v="26730"/>
    <m/>
    <s v="GONDCAILLE"/>
    <s v="Laurent"/>
    <m/>
    <n v="1971"/>
    <s v="M"/>
    <m/>
    <n v="0"/>
    <m/>
    <m/>
    <m/>
    <n v="0"/>
    <m/>
    <m/>
    <m/>
    <n v="6008"/>
    <s v="6008HF"/>
    <s v="NOYON C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21969"/>
    <n v="6747"/>
    <m/>
    <s v="GORGUE"/>
    <s v="Jean"/>
    <m/>
    <n v="1969"/>
    <s v="M"/>
    <m/>
    <n v="0"/>
    <m/>
    <m/>
    <m/>
    <n v="0"/>
    <m/>
    <m/>
    <m/>
    <n v="5116"/>
    <s v="5116GE"/>
    <s v="ASO Siller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170292"/>
    <n v="43131"/>
    <m/>
    <s v="GRAFFIN"/>
    <s v="Hugo"/>
    <m/>
    <n v="1992"/>
    <s v="M"/>
    <m/>
    <n v="0"/>
    <m/>
    <m/>
    <m/>
    <n v="0"/>
    <m/>
    <m/>
    <m/>
    <n v="8812"/>
    <s v="8812GE"/>
    <s v="O'ZONE 8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640921"/>
    <n v="19674"/>
    <m/>
    <s v="GRANCOIN"/>
    <s v="Marc"/>
    <m/>
    <n v="1964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59067"/>
    <n v="30350"/>
    <m/>
    <s v="GRATTEPANCHE"/>
    <s v="Florent"/>
    <m/>
    <n v="1998"/>
    <s v="M"/>
    <m/>
    <n v="0"/>
    <m/>
    <m/>
    <m/>
    <n v="0"/>
    <m/>
    <m/>
    <m/>
    <n v="5907"/>
    <s v="5907HF"/>
    <s v="T.A.D.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519732"/>
    <n v="2252"/>
    <m/>
    <s v="GROSHENS"/>
    <s v="Didier"/>
    <m/>
    <n v="1962"/>
    <s v="M"/>
    <m/>
    <n v="0"/>
    <m/>
    <m/>
    <m/>
    <n v="0"/>
    <m/>
    <m/>
    <m/>
    <n v="2108"/>
    <s v="2108BF"/>
    <s v="Talant S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2356"/>
    <n v="13491"/>
    <m/>
    <s v="GUENIN"/>
    <s v="Olivier"/>
    <m/>
    <n v="1964"/>
    <s v="M"/>
    <m/>
    <n v="0"/>
    <m/>
    <m/>
    <m/>
    <n v="0"/>
    <m/>
    <m/>
    <m/>
    <n v="5116"/>
    <s v="5116GE"/>
    <s v="ASO Siller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n v="27020"/>
    <m/>
    <s v="GUERINI"/>
    <s v="Robin"/>
    <m/>
    <n v="2007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s v="X"/>
    <n v="0"/>
    <n v="0"/>
    <m/>
    <m/>
    <n v="9001"/>
    <s v="9001: 65 - 128"/>
    <m/>
    <m/>
    <n v="77"/>
  </r>
  <r>
    <m/>
    <m/>
    <m/>
    <m/>
    <n v="8059006"/>
    <n v="24196"/>
    <m/>
    <s v="GUILBERT"/>
    <s v="Nicolas"/>
    <m/>
    <n v="1979"/>
    <s v="M"/>
    <m/>
    <n v="0"/>
    <m/>
    <m/>
    <m/>
    <n v="0"/>
    <m/>
    <m/>
    <m/>
    <n v="6208"/>
    <s v="6208HF"/>
    <s v="B.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56555"/>
    <n v="15019"/>
    <m/>
    <s v="GUINOT"/>
    <s v="Thibaut"/>
    <m/>
    <n v="2000"/>
    <s v="M"/>
    <m/>
    <n v="0"/>
    <m/>
    <m/>
    <m/>
    <n v="0"/>
    <m/>
    <m/>
    <m/>
    <n v="2108"/>
    <s v="2108BF"/>
    <s v="Talant S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59018"/>
    <n v="24070"/>
    <m/>
    <s v="HALTZ"/>
    <s v="Louis"/>
    <m/>
    <n v="1997"/>
    <s v="M"/>
    <m/>
    <n v="0"/>
    <m/>
    <m/>
    <m/>
    <n v="0"/>
    <m/>
    <m/>
    <m/>
    <n v="5907"/>
    <s v="5907HF"/>
    <s v="T.A.D.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180997"/>
    <m/>
    <m/>
    <s v="HANAFIN"/>
    <s v="Jack"/>
    <m/>
    <n v="1997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02136"/>
    <n v="20048"/>
    <m/>
    <s v="HANAUER"/>
    <s v="Jean-Marie"/>
    <m/>
    <n v="1964"/>
    <s v="M"/>
    <m/>
    <n v="0"/>
    <m/>
    <m/>
    <m/>
    <n v="0"/>
    <m/>
    <m/>
    <m/>
    <n v="6806"/>
    <s v="6806GE"/>
    <s v="COBuhl.Florival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9960"/>
    <n v="32784"/>
    <m/>
    <s v="HAUTREUX"/>
    <s v="Rémi"/>
    <m/>
    <n v="1998"/>
    <s v="M"/>
    <m/>
    <n v="0"/>
    <m/>
    <m/>
    <m/>
    <n v="0"/>
    <m/>
    <m/>
    <m/>
    <n v="6008"/>
    <s v="6008HF"/>
    <s v="NOYON C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30377"/>
    <n v="7610"/>
    <m/>
    <s v="HEROUARD"/>
    <s v="Thierry"/>
    <m/>
    <n v="1963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9910912"/>
    <m/>
    <m/>
    <s v="HOFMANS"/>
    <s v="Benjamin"/>
    <m/>
    <n v="1991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80589"/>
    <m/>
    <m/>
    <s v="JACQUES"/>
    <s v="Lionel"/>
    <m/>
    <n v="1991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7910002"/>
    <n v="43397"/>
    <m/>
    <s v="KURTZ"/>
    <s v="Johan"/>
    <m/>
    <n v="1976"/>
    <s v="M"/>
    <m/>
    <n v="0"/>
    <m/>
    <m/>
    <m/>
    <n v="0"/>
    <m/>
    <m/>
    <m/>
    <n v="9105"/>
    <s v="9105IF"/>
    <s v="COLE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41267"/>
    <n v="19390"/>
    <m/>
    <s v="LE CAM"/>
    <s v="Raphaël"/>
    <m/>
    <n v="1967"/>
    <s v="M"/>
    <m/>
    <n v="0"/>
    <m/>
    <m/>
    <m/>
    <n v="0"/>
    <m/>
    <m/>
    <m/>
    <n v="3502"/>
    <s v="3502BR"/>
    <s v="CRC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660063"/>
    <n v="31905"/>
    <m/>
    <s v="LE HELLOCO"/>
    <s v="Alec"/>
    <m/>
    <n v="2004"/>
    <s v="M"/>
    <m/>
    <n v="0"/>
    <m/>
    <m/>
    <m/>
    <n v="0"/>
    <m/>
    <m/>
    <m/>
    <n v="7707"/>
    <s v="7707IF"/>
    <s v="OPA MONTIGN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80664"/>
    <n v="26531"/>
    <m/>
    <s v="LE MEUR"/>
    <s v="pierre"/>
    <m/>
    <n v="1964"/>
    <s v="M"/>
    <m/>
    <n v="0"/>
    <m/>
    <m/>
    <m/>
    <n v="0"/>
    <m/>
    <m/>
    <m/>
    <n v="9510"/>
    <s v="9510IF"/>
    <s v="ROC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9783553"/>
    <n v="23652"/>
    <m/>
    <s v="LE ROUX"/>
    <s v="Eric"/>
    <m/>
    <n v="1982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001023"/>
    <m/>
    <m/>
    <s v="LEBEGUE"/>
    <s v="JF"/>
    <m/>
    <n v="1976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456101"/>
    <n v="33757"/>
    <m/>
    <s v="LEDEZ"/>
    <s v="Rémi"/>
    <m/>
    <n v="1993"/>
    <s v="M"/>
    <m/>
    <n v="0"/>
    <m/>
    <m/>
    <m/>
    <n v="0"/>
    <m/>
    <m/>
    <m/>
    <n v="5907"/>
    <s v="5907HF"/>
    <s v="T.A.D.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99032"/>
    <n v="1365"/>
    <m/>
    <s v="LEJEUNE"/>
    <s v="Bruno"/>
    <m/>
    <n v="1965"/>
    <s v="M"/>
    <m/>
    <n v="0"/>
    <m/>
    <m/>
    <m/>
    <n v="0"/>
    <m/>
    <m/>
    <m/>
    <n v="9105"/>
    <s v="9105IF"/>
    <s v="COLE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25116"/>
    <n v="24105"/>
    <m/>
    <s v="LESUEUR"/>
    <s v="Stéphane"/>
    <m/>
    <n v="1986"/>
    <s v="M"/>
    <m/>
    <n v="0"/>
    <m/>
    <m/>
    <m/>
    <n v="0"/>
    <m/>
    <m/>
    <m/>
    <n v="5116"/>
    <s v="5116GE"/>
    <s v="ASO Siller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99160"/>
    <n v="23716"/>
    <m/>
    <s v="LINTANF"/>
    <s v="Hugo"/>
    <m/>
    <n v="2001"/>
    <s v="M"/>
    <m/>
    <n v="0"/>
    <m/>
    <m/>
    <m/>
    <n v="0"/>
    <m/>
    <m/>
    <m/>
    <n v="9105"/>
    <s v="9105IF"/>
    <s v="COLE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2027631"/>
    <n v="17853"/>
    <m/>
    <s v="LOTT"/>
    <s v="Frederic"/>
    <m/>
    <n v="1994"/>
    <s v="M"/>
    <m/>
    <n v="0"/>
    <m/>
    <m/>
    <m/>
    <n v="0"/>
    <m/>
    <m/>
    <m/>
    <n v="7707"/>
    <s v="7707IF"/>
    <s v="OPA MONTIGN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090969"/>
    <n v="33652"/>
    <m/>
    <s v="MANCEL"/>
    <s v="Stephane"/>
    <m/>
    <n v="1969"/>
    <s v="M"/>
    <m/>
    <n v="0"/>
    <m/>
    <m/>
    <m/>
    <n v="0"/>
    <m/>
    <m/>
    <m/>
    <n v="9211"/>
    <s v="9211IF"/>
    <s v="DS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m/>
    <m/>
    <s v="MANGIN"/>
    <s v="Bruno"/>
    <m/>
    <n v="1981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s v="X"/>
    <n v="0"/>
    <n v="0"/>
    <m/>
    <m/>
    <n v="9001"/>
    <s v="9001: 65 - 128"/>
    <m/>
    <m/>
    <n v="77"/>
  </r>
  <r>
    <m/>
    <m/>
    <m/>
    <m/>
    <m/>
    <m/>
    <m/>
    <s v="MARBOUTY"/>
    <s v="Romain"/>
    <m/>
    <n v="1978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s v="X"/>
    <n v="0"/>
    <n v="0"/>
    <m/>
    <m/>
    <n v="9001"/>
    <s v="9001: 65 - 128"/>
    <m/>
    <m/>
    <n v="77"/>
  </r>
  <r>
    <m/>
    <m/>
    <m/>
    <m/>
    <n v="8200994"/>
    <n v="27734"/>
    <m/>
    <s v="MARCHAND"/>
    <s v="Maxime"/>
    <m/>
    <n v="1994"/>
    <s v="M"/>
    <m/>
    <n v="0"/>
    <m/>
    <m/>
    <m/>
    <n v="0"/>
    <m/>
    <m/>
    <m/>
    <n v="7605"/>
    <s v="7605NM"/>
    <s v="COBS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005053"/>
    <n v="16264"/>
    <m/>
    <s v="MARTY"/>
    <s v="Patrick"/>
    <m/>
    <n v="1959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81972"/>
    <n v="33180"/>
    <m/>
    <s v="MASSON"/>
    <s v="David"/>
    <m/>
    <n v="1972"/>
    <s v="M"/>
    <m/>
    <n v="0"/>
    <m/>
    <m/>
    <m/>
    <n v="0"/>
    <m/>
    <m/>
    <m/>
    <n v="2108"/>
    <s v="2108BF"/>
    <s v="Talant S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37807"/>
    <n v="17775"/>
    <m/>
    <s v="MAURIES"/>
    <s v="Benjamin"/>
    <m/>
    <n v="1980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703077"/>
    <n v="24753"/>
    <m/>
    <s v="MEUNIER"/>
    <s v="Frédéric"/>
    <m/>
    <n v="1974"/>
    <s v="M"/>
    <m/>
    <n v="0"/>
    <m/>
    <m/>
    <m/>
    <n v="0"/>
    <m/>
    <m/>
    <m/>
    <n v="4504"/>
    <s v="4504CE"/>
    <s v="ASCO ORLEANS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20976"/>
    <n v="33520"/>
    <n v="0"/>
    <s v="MOLLE"/>
    <s v="Mickaël"/>
    <m/>
    <n v="1976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660033"/>
    <m/>
    <m/>
    <s v="MOREELS"/>
    <s v="Jasper"/>
    <m/>
    <n v="1989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91159"/>
    <n v="2099"/>
    <m/>
    <s v="MORLON"/>
    <s v="Jean-François"/>
    <m/>
    <n v="1959"/>
    <s v="M"/>
    <m/>
    <n v="0"/>
    <m/>
    <m/>
    <m/>
    <n v="0"/>
    <m/>
    <m/>
    <m/>
    <n v="2108"/>
    <s v="2108BF"/>
    <s v="Talant S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1077810"/>
    <n v="28447"/>
    <m/>
    <s v="MOUGEL"/>
    <s v="Eric"/>
    <m/>
    <n v="1979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9912108"/>
    <n v="18327"/>
    <m/>
    <s v="NAVILLE"/>
    <s v="Thierry"/>
    <m/>
    <n v="1968"/>
    <s v="M"/>
    <m/>
    <n v="0"/>
    <m/>
    <m/>
    <m/>
    <n v="0"/>
    <m/>
    <m/>
    <m/>
    <n v="9209"/>
    <s v="9209IF"/>
    <s v="Raid-Up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668567"/>
    <m/>
    <m/>
    <s v="NIJST"/>
    <s v="Tino"/>
    <m/>
    <n v="1973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500944"/>
    <m/>
    <m/>
    <s v="NORWOOD"/>
    <s v="Tim"/>
    <m/>
    <n v="2003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200877"/>
    <n v="30672"/>
    <m/>
    <s v="ODERMATT"/>
    <s v="Brian"/>
    <m/>
    <n v="1997"/>
    <s v="M"/>
    <m/>
    <n v="0"/>
    <m/>
    <m/>
    <m/>
    <n v="0"/>
    <m/>
    <m/>
    <m/>
    <n v="6803"/>
    <s v="6803GE"/>
    <s v="COMulhouse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060683"/>
    <n v="25139"/>
    <n v="0"/>
    <s v="PACHER"/>
    <s v="Romain"/>
    <m/>
    <n v="1983"/>
    <s v="M"/>
    <m/>
    <n v="0"/>
    <m/>
    <m/>
    <m/>
    <n v="0"/>
    <m/>
    <m/>
    <m/>
    <n v="7701"/>
    <s v="7701IF"/>
    <s v="CSA CNSD"/>
    <s v="FR"/>
    <m/>
    <m/>
    <n v="200"/>
    <x v="0"/>
    <s v="A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17807"/>
    <n v="19099"/>
    <m/>
    <s v="PANNIER"/>
    <s v="Axel"/>
    <m/>
    <n v="2001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20970"/>
    <n v="12114"/>
    <m/>
    <s v="PANNIER"/>
    <s v="Pascal"/>
    <m/>
    <n v="1970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630382"/>
    <n v="24538"/>
    <m/>
    <s v="PEKER"/>
    <s v="Vincent"/>
    <m/>
    <n v="1999"/>
    <s v="M"/>
    <m/>
    <n v="0"/>
    <m/>
    <m/>
    <m/>
    <n v="0"/>
    <m/>
    <m/>
    <m/>
    <n v="7707"/>
    <s v="7707IF"/>
    <s v="OPA MONTIGN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519090"/>
    <n v="24534"/>
    <m/>
    <s v="PEKER"/>
    <s v="Yves"/>
    <m/>
    <n v="1963"/>
    <s v="M"/>
    <m/>
    <n v="0"/>
    <m/>
    <m/>
    <m/>
    <n v="0"/>
    <m/>
    <m/>
    <m/>
    <n v="7707"/>
    <s v="7707IF"/>
    <s v="OPA MONTIGN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482611"/>
    <n v="8975"/>
    <n v="0"/>
    <s v="PERRIN"/>
    <s v="Arnaud"/>
    <m/>
    <n v="1996"/>
    <s v="M"/>
    <m/>
    <n v="0"/>
    <m/>
    <m/>
    <m/>
    <n v="0"/>
    <m/>
    <m/>
    <m/>
    <n v="4201"/>
    <s v="4201AR"/>
    <s v="NOSE"/>
    <s v="Fra"/>
    <m/>
    <m/>
    <n v="200"/>
    <x v="0"/>
    <s v="A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40580"/>
    <m/>
    <m/>
    <s v="PHILIPPE"/>
    <s v="Matthieu"/>
    <m/>
    <n v="1986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m/>
    <m/>
    <m/>
    <s v="PIN"/>
    <s v="Dorian"/>
    <m/>
    <n v="1980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s v="X"/>
    <n v="0"/>
    <n v="0"/>
    <m/>
    <m/>
    <n v="9001"/>
    <s v="9001: 65 - 128"/>
    <m/>
    <m/>
    <n v="77"/>
  </r>
  <r>
    <m/>
    <m/>
    <m/>
    <m/>
    <n v="8002711"/>
    <n v="26567"/>
    <m/>
    <s v="PINSARD"/>
    <s v="Florian"/>
    <m/>
    <n v="1996"/>
    <s v="M"/>
    <m/>
    <n v="0"/>
    <m/>
    <m/>
    <m/>
    <n v="0"/>
    <m/>
    <m/>
    <m/>
    <n v="2508"/>
    <s v="2508BF"/>
    <s v="BALISE 25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n v="32409"/>
    <m/>
    <s v="PIVERT"/>
    <s v="Jean-Baptiste"/>
    <m/>
    <n v="1964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s v="X"/>
    <n v="0"/>
    <n v="0"/>
    <m/>
    <m/>
    <n v="9001"/>
    <s v="9001: 65 - 128"/>
    <m/>
    <m/>
    <n v="77"/>
  </r>
  <r>
    <m/>
    <m/>
    <m/>
    <m/>
    <n v="8517576"/>
    <n v="13950"/>
    <m/>
    <s v="POULAIN"/>
    <s v="Nicolas"/>
    <m/>
    <n v="1975"/>
    <s v="M"/>
    <m/>
    <n v="0"/>
    <m/>
    <m/>
    <m/>
    <n v="0"/>
    <m/>
    <m/>
    <m/>
    <n v="7605"/>
    <s v="7605NM"/>
    <s v="COBS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9002024"/>
    <n v="18794"/>
    <m/>
    <s v="PRADEAU"/>
    <s v="François"/>
    <m/>
    <n v="1975"/>
    <s v="M"/>
    <m/>
    <n v="0"/>
    <m/>
    <m/>
    <m/>
    <n v="0"/>
    <m/>
    <m/>
    <m/>
    <n v="6307"/>
    <s v="6307AR"/>
    <s v="Balise 63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62819"/>
    <n v="13757"/>
    <m/>
    <s v="PRINS"/>
    <s v="Grégory"/>
    <m/>
    <n v="1978"/>
    <s v="M"/>
    <m/>
    <n v="0"/>
    <m/>
    <m/>
    <m/>
    <n v="0"/>
    <m/>
    <m/>
    <m/>
    <n v="6208"/>
    <s v="6208HF"/>
    <s v="B.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62820"/>
    <n v="22302"/>
    <m/>
    <s v="PRUVOST"/>
    <s v="Stephane"/>
    <m/>
    <n v="1972"/>
    <s v="M"/>
    <m/>
    <n v="0"/>
    <m/>
    <m/>
    <m/>
    <n v="0"/>
    <m/>
    <m/>
    <m/>
    <n v="6208"/>
    <s v="6208HF"/>
    <s v="B.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9995"/>
    <n v="25199"/>
    <m/>
    <s v="RADONDY"/>
    <s v="Thomas"/>
    <m/>
    <n v="2002"/>
    <s v="M"/>
    <m/>
    <n v="0"/>
    <m/>
    <m/>
    <m/>
    <n v="0"/>
    <m/>
    <m/>
    <m/>
    <n v="5907"/>
    <s v="5907HF"/>
    <s v="T.A.D.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427775"/>
    <n v="8237"/>
    <m/>
    <s v="RAIMBAULT"/>
    <s v="Juste"/>
    <m/>
    <n v="1989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75668"/>
    <n v="3201"/>
    <m/>
    <s v="RAUTURIER"/>
    <s v="Christophe"/>
    <m/>
    <n v="1966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999599"/>
    <m/>
    <m/>
    <s v="RAYMOND"/>
    <s v="Raphael"/>
    <m/>
    <n v="1978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7705290"/>
    <n v="4768"/>
    <m/>
    <s v="RICARD"/>
    <s v="Gaël"/>
    <m/>
    <n v="1977"/>
    <s v="M"/>
    <m/>
    <n v="0"/>
    <m/>
    <m/>
    <m/>
    <n v="0"/>
    <m/>
    <m/>
    <m/>
    <n v="9502"/>
    <s v="9502IF"/>
    <s v="ACBeauchamp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643983"/>
    <n v="29515"/>
    <m/>
    <s v="ROBINSON"/>
    <s v="Thibaut"/>
    <m/>
    <n v="1994"/>
    <s v="M"/>
    <m/>
    <n v="0"/>
    <m/>
    <m/>
    <m/>
    <n v="0"/>
    <m/>
    <m/>
    <m/>
    <n v="5116"/>
    <s v="5116GE"/>
    <s v="ASO Sillery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17678"/>
    <m/>
    <m/>
    <s v="ROWE"/>
    <s v="Oscar"/>
    <m/>
    <n v="2006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02091"/>
    <n v="11061"/>
    <m/>
    <s v="SANDEVOIR"/>
    <s v="Luc"/>
    <m/>
    <n v="1995"/>
    <s v="M"/>
    <m/>
    <n v="0"/>
    <m/>
    <m/>
    <m/>
    <n v="0"/>
    <m/>
    <m/>
    <m/>
    <n v="1403"/>
    <s v="1403NM"/>
    <s v="O. CAENNAISE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80770"/>
    <n v="8508"/>
    <m/>
    <s v="SELLIER"/>
    <s v="Jean-Marc"/>
    <m/>
    <n v="1970"/>
    <s v="M"/>
    <m/>
    <n v="0"/>
    <m/>
    <m/>
    <m/>
    <n v="0"/>
    <m/>
    <m/>
    <m/>
    <n v="111"/>
    <s v="0111AR"/>
    <s v="CO AMBERIEU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10100"/>
    <n v="18261"/>
    <m/>
    <s v="SELLIER"/>
    <s v="Mathis"/>
    <m/>
    <n v="2002"/>
    <s v="M"/>
    <m/>
    <n v="0"/>
    <m/>
    <m/>
    <m/>
    <n v="0"/>
    <m/>
    <m/>
    <m/>
    <n v="111"/>
    <s v="0111AR"/>
    <s v="CO AMBERIEU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04646"/>
    <n v="41272"/>
    <m/>
    <s v="SIREJOL"/>
    <s v="Pascal"/>
    <m/>
    <n v="1994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30982"/>
    <n v="27854"/>
    <m/>
    <s v="SOLIER"/>
    <s v="Judicaël"/>
    <m/>
    <n v="1982"/>
    <s v="M"/>
    <m/>
    <n v="0"/>
    <m/>
    <m/>
    <m/>
    <n v="0"/>
    <m/>
    <m/>
    <m/>
    <n v="6008"/>
    <s v="6008HF"/>
    <s v="NOYON C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n v="9599"/>
    <m/>
    <s v="THONIER"/>
    <s v="Bruno"/>
    <m/>
    <n v="1968"/>
    <s v="M"/>
    <m/>
    <n v="0"/>
    <m/>
    <m/>
    <m/>
    <n v="0"/>
    <m/>
    <m/>
    <m/>
    <n v="7807"/>
    <s v="7807IF"/>
    <s v="GO7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s v="X"/>
    <n v="0"/>
    <n v="0"/>
    <m/>
    <m/>
    <n v="9001"/>
    <s v="9001: 65 - 128"/>
    <m/>
    <m/>
    <n v="77"/>
  </r>
  <r>
    <m/>
    <m/>
    <m/>
    <m/>
    <n v="7921106"/>
    <n v="24690"/>
    <m/>
    <s v="TOUZEAU"/>
    <s v="Eric"/>
    <m/>
    <n v="1973"/>
    <s v="M"/>
    <m/>
    <n v="0"/>
    <m/>
    <m/>
    <m/>
    <n v="0"/>
    <m/>
    <m/>
    <m/>
    <n v="9211"/>
    <s v="9211IF"/>
    <s v="DS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62826"/>
    <n v="24217"/>
    <m/>
    <s v="TROUSSON"/>
    <s v="Nicolas"/>
    <m/>
    <n v="1980"/>
    <s v="M"/>
    <m/>
    <n v="0"/>
    <m/>
    <m/>
    <m/>
    <n v="0"/>
    <m/>
    <m/>
    <m/>
    <n v="6208"/>
    <s v="6208HF"/>
    <s v="B.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10022"/>
    <n v="22540"/>
    <m/>
    <s v="URVOY"/>
    <s v="Mateo"/>
    <m/>
    <n v="2000"/>
    <s v="M"/>
    <m/>
    <n v="0"/>
    <m/>
    <m/>
    <m/>
    <n v="0"/>
    <m/>
    <m/>
    <m/>
    <n v="6208"/>
    <s v="6208HF"/>
    <s v="B.A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59404"/>
    <n v="2121"/>
    <m/>
    <s v="VANNIER"/>
    <s v="Fabrice"/>
    <m/>
    <n v="1972"/>
    <s v="M"/>
    <m/>
    <n v="0"/>
    <m/>
    <m/>
    <m/>
    <n v="0"/>
    <m/>
    <m/>
    <m/>
    <n v="7716"/>
    <s v="7716IF"/>
    <s v="BALISE 77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59060"/>
    <n v="31334"/>
    <m/>
    <s v="VARIN"/>
    <s v="Lucas"/>
    <m/>
    <n v="2001"/>
    <s v="M"/>
    <m/>
    <n v="0"/>
    <m/>
    <m/>
    <m/>
    <n v="0"/>
    <m/>
    <m/>
    <m/>
    <n v="5906"/>
    <s v="5906HF"/>
    <s v="VALMO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65907"/>
    <n v="35558"/>
    <m/>
    <s v="VEROVE"/>
    <s v="Vianney"/>
    <m/>
    <n v="2006"/>
    <s v="M"/>
    <m/>
    <n v="0"/>
    <m/>
    <m/>
    <m/>
    <n v="0"/>
    <m/>
    <m/>
    <m/>
    <n v="5907"/>
    <s v="5907HF"/>
    <s v="T.A.D.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00795"/>
    <m/>
    <m/>
    <s v="VLEUGELS"/>
    <s v="Brent"/>
    <m/>
    <n v="1995"/>
    <s v="M"/>
    <m/>
    <n v="0"/>
    <m/>
    <m/>
    <m/>
    <n v="0"/>
    <m/>
    <m/>
    <m/>
    <n v="90002"/>
    <s v="Pass_C"/>
    <s v="Pass Competition"/>
    <m/>
    <m/>
    <m/>
    <n v="200"/>
    <x v="0"/>
    <s v="A"/>
    <n v="200"/>
    <s v="A"/>
    <s v="A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270607"/>
    <n v="21183"/>
    <m/>
    <s v="VUILLEMARD"/>
    <s v="Jérémy"/>
    <m/>
    <n v="1978"/>
    <s v="M"/>
    <m/>
    <n v="0"/>
    <m/>
    <m/>
    <m/>
    <n v="0"/>
    <m/>
    <m/>
    <m/>
    <n v="8812"/>
    <s v="8812GE"/>
    <s v="O'ZONE 88"/>
    <s v="FR"/>
    <m/>
    <m/>
    <n v="200"/>
    <x v="0"/>
    <s v="A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m/>
    <m/>
    <s v="AVENEL"/>
    <s v="Boris"/>
    <m/>
    <n v="1971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s v="X"/>
    <n v="0"/>
    <n v="0"/>
    <m/>
    <m/>
    <n v="9002"/>
    <s v="B 10.7 VL"/>
    <n v="10.7"/>
    <m/>
    <n v="38"/>
  </r>
  <r>
    <m/>
    <m/>
    <m/>
    <m/>
    <n v="8304035"/>
    <n v="15733"/>
    <m/>
    <s v="BAILLET"/>
    <s v="Arnaud"/>
    <m/>
    <n v="1983"/>
    <s v="M"/>
    <m/>
    <n v="0"/>
    <m/>
    <m/>
    <m/>
    <n v="0"/>
    <m/>
    <m/>
    <m/>
    <n v="6013"/>
    <s v="6013HF"/>
    <s v="LABO2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62311"/>
    <n v="37017"/>
    <m/>
    <s v="BARAILLE"/>
    <s v="Constantin"/>
    <m/>
    <n v="2006"/>
    <s v="M"/>
    <m/>
    <n v="0"/>
    <m/>
    <m/>
    <m/>
    <n v="0"/>
    <m/>
    <m/>
    <m/>
    <n v="7205"/>
    <s v="7205PL"/>
    <s v="LMA 72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02184"/>
    <n v="12607"/>
    <m/>
    <s v="BERTHOMIEU"/>
    <s v="Manuel"/>
    <m/>
    <n v="1990"/>
    <s v="M"/>
    <m/>
    <n v="0"/>
    <m/>
    <m/>
    <m/>
    <n v="0"/>
    <m/>
    <m/>
    <m/>
    <n v="7807"/>
    <s v="7807IF"/>
    <s v="GO78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1780789"/>
    <m/>
    <m/>
    <s v="BONNEFOND"/>
    <s v="Chloé"/>
    <m/>
    <n v="1998"/>
    <s v="F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1999073"/>
    <n v="34968"/>
    <m/>
    <s v="BRAULT"/>
    <s v="Leo"/>
    <m/>
    <n v="2008"/>
    <s v="M"/>
    <m/>
    <n v="0"/>
    <m/>
    <m/>
    <m/>
    <n v="0"/>
    <m/>
    <m/>
    <m/>
    <n v="9105"/>
    <s v="9105IF"/>
    <s v="COLE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7890987"/>
    <n v="11531"/>
    <m/>
    <s v="BRAULT"/>
    <s v="Lionel"/>
    <m/>
    <n v="1975"/>
    <s v="M"/>
    <m/>
    <n v="0"/>
    <m/>
    <m/>
    <m/>
    <n v="0"/>
    <m/>
    <m/>
    <m/>
    <n v="9105"/>
    <s v="9105IF"/>
    <s v="COLE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217797"/>
    <m/>
    <m/>
    <s v="BROWNE"/>
    <s v="Gerry"/>
    <m/>
    <n v="2007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217850"/>
    <m/>
    <m/>
    <s v="BUCKLEY"/>
    <s v="Eve"/>
    <m/>
    <n v="2007"/>
    <s v="F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009946"/>
    <n v="38128"/>
    <m/>
    <s v="CHAPUT"/>
    <s v="Titouan"/>
    <m/>
    <n v="2005"/>
    <s v="M"/>
    <m/>
    <n v="0"/>
    <m/>
    <m/>
    <m/>
    <n v="0"/>
    <m/>
    <m/>
    <m/>
    <n v="1406"/>
    <s v="1406NM"/>
    <s v="vir'king raid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m/>
    <m/>
    <m/>
    <s v="COIRON"/>
    <s v="Paul"/>
    <m/>
    <n v="1978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s v="X"/>
    <n v="0"/>
    <n v="0"/>
    <m/>
    <m/>
    <n v="9002"/>
    <s v="B 10.7 VL"/>
    <n v="10.7"/>
    <m/>
    <n v="38"/>
  </r>
  <r>
    <m/>
    <m/>
    <m/>
    <m/>
    <n v="8072809"/>
    <n v="40039"/>
    <m/>
    <s v="COLLARD"/>
    <s v="Tristan"/>
    <m/>
    <n v="2007"/>
    <s v="M"/>
    <m/>
    <n v="0"/>
    <m/>
    <m/>
    <m/>
    <n v="0"/>
    <m/>
    <m/>
    <m/>
    <n v="5116"/>
    <s v="5116GE"/>
    <s v="ASO Siller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890305"/>
    <n v="20044"/>
    <m/>
    <s v="COLLIN"/>
    <s v="Pierre"/>
    <m/>
    <n v="1969"/>
    <s v="M"/>
    <m/>
    <n v="0"/>
    <m/>
    <m/>
    <m/>
    <n v="0"/>
    <m/>
    <m/>
    <m/>
    <n v="8903"/>
    <s v="8903BF"/>
    <s v="YCONE-Sens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51162"/>
    <n v="13671"/>
    <m/>
    <s v="COUSIN"/>
    <s v="Claude"/>
    <m/>
    <n v="1958"/>
    <s v="M"/>
    <m/>
    <n v="0"/>
    <m/>
    <m/>
    <m/>
    <n v="0"/>
    <m/>
    <m/>
    <m/>
    <n v="5116"/>
    <s v="5116GE"/>
    <s v="ASO Siller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31994"/>
    <m/>
    <m/>
    <s v="DALON"/>
    <s v="Gelica"/>
    <m/>
    <n v="1970"/>
    <s v="F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7211836"/>
    <m/>
    <m/>
    <s v="DARIMONT"/>
    <s v="Didier"/>
    <m/>
    <n v="1963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131977"/>
    <n v="33181"/>
    <m/>
    <s v="DE MARCH"/>
    <s v="Angélique"/>
    <m/>
    <n v="1977"/>
    <s v="F"/>
    <m/>
    <n v="0"/>
    <m/>
    <m/>
    <m/>
    <n v="0"/>
    <m/>
    <m/>
    <m/>
    <n v="2108"/>
    <s v="2108BF"/>
    <s v="Talant SO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1794448"/>
    <m/>
    <m/>
    <s v="DEDE"/>
    <s v="Paul"/>
    <m/>
    <n v="1989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655043"/>
    <n v="36478"/>
    <m/>
    <s v="DEFRAIGNE"/>
    <s v="Sandrine"/>
    <m/>
    <n v="1999"/>
    <s v="F"/>
    <m/>
    <n v="0"/>
    <m/>
    <m/>
    <m/>
    <n v="0"/>
    <m/>
    <m/>
    <m/>
    <n v="5907"/>
    <s v="5907HF"/>
    <s v="T.A.D.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09742"/>
    <n v="1974"/>
    <m/>
    <s v="DELAUME"/>
    <s v="Jean-Marc"/>
    <m/>
    <n v="1971"/>
    <s v="M"/>
    <m/>
    <n v="0"/>
    <m/>
    <m/>
    <m/>
    <n v="0"/>
    <m/>
    <m/>
    <m/>
    <n v="7707"/>
    <s v="7707IF"/>
    <s v="OPA MONTIGN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170577"/>
    <n v="14227"/>
    <m/>
    <s v="DESRUMAUX"/>
    <s v="Marie"/>
    <m/>
    <n v="1977"/>
    <s v="F"/>
    <m/>
    <n v="0"/>
    <m/>
    <m/>
    <m/>
    <n v="0"/>
    <m/>
    <m/>
    <m/>
    <n v="5906"/>
    <s v="5906HF"/>
    <s v="VALMO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m/>
    <n v="36849"/>
    <m/>
    <s v="DURAND"/>
    <s v="Marion"/>
    <m/>
    <n v="1979"/>
    <s v="F"/>
    <m/>
    <n v="0"/>
    <m/>
    <m/>
    <m/>
    <n v="0"/>
    <m/>
    <m/>
    <m/>
    <n v="7716"/>
    <s v="7716IF"/>
    <s v="BALISE 77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s v="X"/>
    <n v="0"/>
    <n v="0"/>
    <m/>
    <m/>
    <n v="9002"/>
    <s v="B 10.7 VL"/>
    <n v="10.7"/>
    <m/>
    <n v="38"/>
  </r>
  <r>
    <m/>
    <m/>
    <m/>
    <m/>
    <n v="1001996"/>
    <m/>
    <m/>
    <s v="DUTERAGE"/>
    <s v="Marie"/>
    <m/>
    <n v="1996"/>
    <s v="F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7910003"/>
    <n v="41514"/>
    <m/>
    <s v="EDIERRE"/>
    <s v="Véronique"/>
    <m/>
    <n v="1978"/>
    <s v="F"/>
    <m/>
    <n v="0"/>
    <m/>
    <m/>
    <m/>
    <n v="0"/>
    <m/>
    <m/>
    <m/>
    <n v="9105"/>
    <s v="9105IF"/>
    <s v="COLE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1077834"/>
    <n v="29765"/>
    <m/>
    <s v="FAUCHEUX"/>
    <s v="Cédric"/>
    <m/>
    <n v="1989"/>
    <s v="M"/>
    <m/>
    <n v="0"/>
    <m/>
    <m/>
    <m/>
    <n v="0"/>
    <m/>
    <m/>
    <m/>
    <n v="7807"/>
    <s v="7807IF"/>
    <s v="GO78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190770"/>
    <n v="16184"/>
    <m/>
    <s v="FAUQUANT"/>
    <s v="Jean-Marie"/>
    <m/>
    <n v="1970"/>
    <s v="M"/>
    <m/>
    <n v="0"/>
    <m/>
    <m/>
    <m/>
    <n v="0"/>
    <m/>
    <m/>
    <m/>
    <n v="7807"/>
    <s v="7807IF"/>
    <s v="GO78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1071082"/>
    <m/>
    <m/>
    <s v="GERARD"/>
    <s v="Pierre"/>
    <m/>
    <n v="1982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m/>
    <m/>
    <m/>
    <s v="GHIGLIONE"/>
    <s v="Florian"/>
    <m/>
    <n v="1981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s v="X"/>
    <n v="0"/>
    <n v="0"/>
    <m/>
    <m/>
    <n v="9002"/>
    <s v="B 10.7 VL"/>
    <n v="10.7"/>
    <m/>
    <n v="38"/>
  </r>
  <r>
    <m/>
    <m/>
    <m/>
    <m/>
    <n v="8099145"/>
    <n v="11313"/>
    <m/>
    <s v="GLASSET"/>
    <s v="Jean-Luc"/>
    <m/>
    <n v="1959"/>
    <s v="M"/>
    <m/>
    <n v="0"/>
    <m/>
    <m/>
    <m/>
    <n v="0"/>
    <m/>
    <m/>
    <m/>
    <n v="7807"/>
    <s v="7807IF"/>
    <s v="GO78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9011960"/>
    <m/>
    <m/>
    <s v="GOVAERTS"/>
    <s v="Bernadette"/>
    <m/>
    <n v="1960"/>
    <s v="F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m/>
    <m/>
    <m/>
    <s v="GUENO"/>
    <s v="Alexandre"/>
    <m/>
    <n v="1990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s v="X"/>
    <n v="0"/>
    <n v="0"/>
    <m/>
    <m/>
    <n v="9002"/>
    <s v="B 10.7 VL"/>
    <n v="10.7"/>
    <m/>
    <n v="38"/>
  </r>
  <r>
    <m/>
    <m/>
    <m/>
    <m/>
    <n v="9191091"/>
    <n v="13784"/>
    <m/>
    <s v="HERVE-JOUSSE"/>
    <s v="Odile"/>
    <m/>
    <n v="1955"/>
    <s v="F"/>
    <m/>
    <n v="0"/>
    <m/>
    <m/>
    <m/>
    <n v="0"/>
    <m/>
    <m/>
    <m/>
    <n v="9105"/>
    <s v="9105IF"/>
    <s v="COLE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1049001"/>
    <m/>
    <m/>
    <s v="HEYMANS"/>
    <s v="Laura"/>
    <m/>
    <n v="1995"/>
    <s v="F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003203"/>
    <n v="23446"/>
    <m/>
    <s v="LAURENT"/>
    <s v="Thomas"/>
    <m/>
    <n v="1987"/>
    <s v="M"/>
    <m/>
    <n v="0"/>
    <m/>
    <m/>
    <m/>
    <n v="0"/>
    <m/>
    <m/>
    <m/>
    <n v="7512"/>
    <s v="7512IF"/>
    <s v="RO'Paris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258970"/>
    <n v="19391"/>
    <m/>
    <s v="LE CAM"/>
    <s v="Muriel"/>
    <m/>
    <n v="1970"/>
    <s v="F"/>
    <m/>
    <n v="0"/>
    <m/>
    <m/>
    <m/>
    <n v="0"/>
    <m/>
    <m/>
    <m/>
    <n v="3502"/>
    <s v="3502BR"/>
    <s v="CRCO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30461"/>
    <n v="8081"/>
    <m/>
    <s v="LEGERE"/>
    <s v="Pascal"/>
    <m/>
    <n v="1961"/>
    <s v="M"/>
    <m/>
    <n v="0"/>
    <m/>
    <m/>
    <m/>
    <n v="0"/>
    <m/>
    <m/>
    <m/>
    <n v="5906"/>
    <s v="5906HF"/>
    <s v="VALMO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890304"/>
    <n v="27837"/>
    <m/>
    <s v="LENOBLE"/>
    <s v="Sandrine"/>
    <m/>
    <n v="1970"/>
    <s v="F"/>
    <m/>
    <n v="0"/>
    <m/>
    <m/>
    <m/>
    <n v="0"/>
    <m/>
    <m/>
    <m/>
    <n v="8903"/>
    <s v="8903BF"/>
    <s v="YCONE-Sens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30076"/>
    <n v="20200"/>
    <n v="0"/>
    <s v="LEPERQUE"/>
    <s v="Ophelie"/>
    <m/>
    <n v="1995"/>
    <s v="F"/>
    <m/>
    <n v="0"/>
    <m/>
    <m/>
    <m/>
    <n v="0"/>
    <m/>
    <m/>
    <m/>
    <n v="7309"/>
    <s v="7309AR"/>
    <s v="COCS"/>
    <s v="Fra"/>
    <m/>
    <m/>
    <n v="201"/>
    <x v="1"/>
    <s v=" B"/>
    <n v="201"/>
    <s v=" B"/>
    <s v=" B"/>
    <m/>
    <m/>
    <m/>
    <m/>
    <m/>
    <m/>
    <s v="Compétition"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7910001"/>
    <n v="23712"/>
    <m/>
    <s v="LINTANF"/>
    <s v="François"/>
    <m/>
    <n v="1971"/>
    <s v="M"/>
    <m/>
    <n v="0"/>
    <m/>
    <m/>
    <m/>
    <n v="0"/>
    <m/>
    <m/>
    <m/>
    <n v="9105"/>
    <s v="9105IF"/>
    <s v="COLE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1719189"/>
    <n v="32709"/>
    <m/>
    <s v="LOPES"/>
    <s v="David"/>
    <m/>
    <n v="1972"/>
    <s v="M"/>
    <m/>
    <n v="0"/>
    <m/>
    <m/>
    <m/>
    <n v="0"/>
    <m/>
    <m/>
    <m/>
    <n v="6307"/>
    <s v="6307AR"/>
    <s v="Balise 63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141108"/>
    <n v="29216"/>
    <m/>
    <s v="MARTIN"/>
    <s v="Laura"/>
    <m/>
    <n v="2008"/>
    <s v="F"/>
    <m/>
    <n v="0"/>
    <m/>
    <m/>
    <m/>
    <n v="0"/>
    <m/>
    <m/>
    <m/>
    <n v="5402"/>
    <s v="5402GE"/>
    <s v="SCAPA NANC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9003567"/>
    <n v="25117"/>
    <m/>
    <s v="MARTIN"/>
    <s v="Pascal"/>
    <m/>
    <n v="1969"/>
    <s v="M"/>
    <m/>
    <n v="0"/>
    <m/>
    <m/>
    <m/>
    <n v="0"/>
    <m/>
    <m/>
    <m/>
    <n v="5402"/>
    <s v="5402GE"/>
    <s v="SCAPA NANC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02420"/>
    <n v="22723"/>
    <m/>
    <s v="MASSON"/>
    <s v="Mireille"/>
    <m/>
    <n v="1973"/>
    <s v="F"/>
    <m/>
    <n v="0"/>
    <m/>
    <m/>
    <m/>
    <n v="0"/>
    <m/>
    <m/>
    <m/>
    <n v="5803"/>
    <s v="5803BF"/>
    <s v="NORD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152007"/>
    <n v="33183"/>
    <m/>
    <s v="MASSON"/>
    <s v="Prune"/>
    <m/>
    <n v="2007"/>
    <s v="F"/>
    <m/>
    <n v="0"/>
    <m/>
    <m/>
    <m/>
    <n v="0"/>
    <m/>
    <m/>
    <m/>
    <n v="2108"/>
    <s v="2108BF"/>
    <s v="Talant SO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217782"/>
    <m/>
    <m/>
    <s v="MASTERSON"/>
    <s v="Dave"/>
    <m/>
    <n v="1978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035907"/>
    <n v="23079"/>
    <m/>
    <s v="MERCIER"/>
    <s v="Agnès"/>
    <m/>
    <n v="1982"/>
    <s v="F"/>
    <m/>
    <n v="0"/>
    <m/>
    <m/>
    <m/>
    <n v="0"/>
    <m/>
    <m/>
    <m/>
    <n v="5907"/>
    <s v="5907HF"/>
    <s v="T.A.D.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20979"/>
    <n v="24999"/>
    <m/>
    <s v="MILEO"/>
    <s v="Julien"/>
    <m/>
    <n v="1979"/>
    <s v="M"/>
    <m/>
    <n v="0"/>
    <m/>
    <m/>
    <m/>
    <n v="0"/>
    <m/>
    <m/>
    <m/>
    <n v="7605"/>
    <s v="7605NM"/>
    <s v="COBS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99008"/>
    <n v="12379"/>
    <m/>
    <s v="MONTAGARD"/>
    <s v="Frédéric"/>
    <m/>
    <n v="1972"/>
    <s v="M"/>
    <m/>
    <n v="0"/>
    <m/>
    <m/>
    <m/>
    <n v="0"/>
    <m/>
    <m/>
    <m/>
    <n v="7807"/>
    <s v="7807IF"/>
    <s v="GO78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34835"/>
    <n v="34412"/>
    <m/>
    <s v="MOREL"/>
    <s v="Iwen"/>
    <m/>
    <n v="2006"/>
    <s v="M"/>
    <m/>
    <n v="0"/>
    <m/>
    <m/>
    <m/>
    <n v="0"/>
    <m/>
    <m/>
    <m/>
    <n v="7707"/>
    <s v="7707IF"/>
    <s v="OPA MONTIGN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791311"/>
    <n v="8234"/>
    <m/>
    <s v="MOREL"/>
    <s v="Olivier"/>
    <m/>
    <n v="1976"/>
    <s v="M"/>
    <m/>
    <n v="0"/>
    <m/>
    <m/>
    <m/>
    <n v="0"/>
    <m/>
    <m/>
    <m/>
    <n v="7707"/>
    <s v="7707IF"/>
    <s v="OPA MONTIGN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9020723"/>
    <n v="2892"/>
    <m/>
    <s v="MOULIERE"/>
    <s v="Camille"/>
    <m/>
    <n v="1974"/>
    <s v="F"/>
    <m/>
    <n v="0"/>
    <m/>
    <m/>
    <m/>
    <n v="0"/>
    <m/>
    <m/>
    <m/>
    <n v="207"/>
    <s v="0207HF"/>
    <s v="VervinsO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9999777"/>
    <n v="2142"/>
    <m/>
    <s v="NAEL"/>
    <s v="Pascal"/>
    <m/>
    <n v="1965"/>
    <s v="M"/>
    <m/>
    <n v="0"/>
    <m/>
    <m/>
    <m/>
    <n v="0"/>
    <m/>
    <m/>
    <m/>
    <n v="9404"/>
    <s v="9404IF"/>
    <s v="AS IGN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137497"/>
    <m/>
    <m/>
    <s v="O'DONNELL"/>
    <s v="Alan"/>
    <m/>
    <n v="1978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047323"/>
    <m/>
    <m/>
    <s v="O'DONNELL"/>
    <s v="Eoin"/>
    <m/>
    <n v="2007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190158"/>
    <n v="38452"/>
    <m/>
    <s v="PERRIN"/>
    <s v="Clotilde"/>
    <m/>
    <n v="1974"/>
    <s v="F"/>
    <m/>
    <n v="0"/>
    <m/>
    <m/>
    <m/>
    <n v="0"/>
    <m/>
    <m/>
    <m/>
    <n v="2109"/>
    <s v="2109BF"/>
    <s v="A.S.Quetign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190159"/>
    <n v="38614"/>
    <m/>
    <s v="PERRIN"/>
    <s v="Jérôme"/>
    <m/>
    <n v="1973"/>
    <s v="M"/>
    <m/>
    <n v="0"/>
    <m/>
    <m/>
    <m/>
    <n v="0"/>
    <m/>
    <m/>
    <m/>
    <n v="2109"/>
    <s v="2109BF"/>
    <s v="A.S.Quetign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05961"/>
    <n v="15021"/>
    <m/>
    <s v="PIERRE"/>
    <s v="Eric"/>
    <m/>
    <n v="1961"/>
    <s v="M"/>
    <m/>
    <n v="0"/>
    <m/>
    <m/>
    <m/>
    <n v="0"/>
    <m/>
    <m/>
    <m/>
    <n v="5803"/>
    <s v="5803BF"/>
    <s v="NORD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517490"/>
    <n v="7437"/>
    <m/>
    <s v="PIGACHE"/>
    <s v="Eric"/>
    <m/>
    <n v="1962"/>
    <s v="M"/>
    <m/>
    <n v="0"/>
    <m/>
    <m/>
    <m/>
    <n v="0"/>
    <m/>
    <m/>
    <m/>
    <n v="7707"/>
    <s v="7707IF"/>
    <s v="OPA MONTIGNY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59072"/>
    <n v="12468"/>
    <m/>
    <s v="RADONDY"/>
    <s v="Daniel"/>
    <m/>
    <n v="1968"/>
    <s v="M"/>
    <m/>
    <n v="0"/>
    <m/>
    <m/>
    <m/>
    <n v="0"/>
    <m/>
    <m/>
    <m/>
    <n v="5907"/>
    <s v="5907HF"/>
    <s v="T.A.D.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30416"/>
    <n v="34751"/>
    <n v="0"/>
    <s v="RANOUX"/>
    <s v="Margot"/>
    <m/>
    <n v="1988"/>
    <s v="F"/>
    <m/>
    <n v="0"/>
    <m/>
    <m/>
    <m/>
    <n v="0"/>
    <m/>
    <m/>
    <m/>
    <n v="7807"/>
    <s v="7807IF"/>
    <s v="GO78"/>
    <s v="FR"/>
    <m/>
    <m/>
    <n v="201"/>
    <x v="1"/>
    <s v=" B"/>
    <n v="201"/>
    <s v=" B"/>
    <s v=" B"/>
    <m/>
    <m/>
    <m/>
    <m/>
    <m/>
    <m/>
    <s v="Compétition"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272008"/>
    <n v="41405"/>
    <m/>
    <s v="REGNARD"/>
    <s v="Maé"/>
    <m/>
    <n v="2008"/>
    <s v="M"/>
    <m/>
    <n v="0"/>
    <m/>
    <m/>
    <m/>
    <n v="0"/>
    <m/>
    <m/>
    <m/>
    <n v="2108"/>
    <s v="2108BF"/>
    <s v="Talant SO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122570"/>
    <n v="19890"/>
    <m/>
    <s v="RICHARD"/>
    <s v="Yann"/>
    <m/>
    <n v="1970"/>
    <s v="M"/>
    <m/>
    <n v="0"/>
    <m/>
    <m/>
    <m/>
    <n v="0"/>
    <m/>
    <m/>
    <m/>
    <n v="7205"/>
    <s v="7205PL"/>
    <s v="LMA 72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7040866"/>
    <n v="11163"/>
    <m/>
    <s v="RIOLLET"/>
    <s v="Yves"/>
    <m/>
    <n v="1966"/>
    <s v="M"/>
    <m/>
    <n v="0"/>
    <m/>
    <m/>
    <m/>
    <n v="0"/>
    <m/>
    <m/>
    <m/>
    <n v="6307"/>
    <s v="6307AR"/>
    <s v="Balise 63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171819"/>
    <n v="4357"/>
    <m/>
    <s v="ROULLEAUX"/>
    <s v="Alain"/>
    <m/>
    <n v="1965"/>
    <s v="M"/>
    <m/>
    <n v="0"/>
    <m/>
    <m/>
    <m/>
    <n v="0"/>
    <m/>
    <m/>
    <m/>
    <n v="9105"/>
    <s v="9105IF"/>
    <s v="COLE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217708"/>
    <m/>
    <m/>
    <s v="ROWE"/>
    <s v="Brian"/>
    <m/>
    <n v="1967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m/>
    <m/>
    <m/>
    <s v="RUBY"/>
    <s v="Thibaut"/>
    <m/>
    <n v="1981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s v="X"/>
    <n v="0"/>
    <n v="0"/>
    <m/>
    <m/>
    <n v="9002"/>
    <s v="B 10.7 VL"/>
    <n v="10.7"/>
    <m/>
    <n v="38"/>
  </r>
  <r>
    <m/>
    <m/>
    <m/>
    <m/>
    <n v="9977777"/>
    <n v="1433"/>
    <m/>
    <s v="SERGEANT"/>
    <s v="Dominique"/>
    <m/>
    <n v="1958"/>
    <s v="M"/>
    <m/>
    <n v="0"/>
    <m/>
    <m/>
    <m/>
    <n v="0"/>
    <m/>
    <m/>
    <m/>
    <n v="9404"/>
    <s v="9404IF"/>
    <s v="AS IGN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9780794"/>
    <n v="42775"/>
    <m/>
    <s v="SOUCHOIS"/>
    <s v="Matthieu"/>
    <m/>
    <n v="1972"/>
    <s v="M"/>
    <m/>
    <n v="0"/>
    <m/>
    <m/>
    <m/>
    <n v="0"/>
    <m/>
    <m/>
    <m/>
    <n v="7807"/>
    <s v="7807IF"/>
    <s v="GO78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1341976"/>
    <n v="31866"/>
    <m/>
    <s v="TALVAS"/>
    <s v="Cyril"/>
    <m/>
    <n v="1976"/>
    <s v="M"/>
    <m/>
    <n v="0"/>
    <m/>
    <m/>
    <m/>
    <n v="0"/>
    <m/>
    <m/>
    <m/>
    <n v="9105"/>
    <s v="9105IF"/>
    <s v="COLE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352005"/>
    <n v="30151"/>
    <m/>
    <s v="TALVAS"/>
    <s v="Damien"/>
    <m/>
    <n v="2005"/>
    <s v="M"/>
    <m/>
    <n v="0"/>
    <m/>
    <m/>
    <m/>
    <n v="0"/>
    <m/>
    <m/>
    <m/>
    <n v="9105"/>
    <s v="9105IF"/>
    <s v="COLE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002199"/>
    <n v="39551"/>
    <m/>
    <s v="THIBAUDAT"/>
    <s v="Fabien"/>
    <m/>
    <n v="1971"/>
    <s v="M"/>
    <m/>
    <n v="0"/>
    <m/>
    <m/>
    <m/>
    <n v="0"/>
    <m/>
    <m/>
    <m/>
    <n v="5803"/>
    <s v="5803BF"/>
    <s v="NORD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1395351"/>
    <n v="23302"/>
    <m/>
    <s v="THOUVENIN"/>
    <s v="Lucas"/>
    <m/>
    <n v="1996"/>
    <s v="M"/>
    <m/>
    <n v="0"/>
    <m/>
    <m/>
    <m/>
    <n v="0"/>
    <m/>
    <m/>
    <m/>
    <n v="6106"/>
    <s v="6106NM"/>
    <s v="CO'ORNE ALENCON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m/>
    <m/>
    <m/>
    <s v="VAN HONACKER"/>
    <s v="Morgan"/>
    <m/>
    <n v="1988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s v="X"/>
    <n v="0"/>
    <n v="0"/>
    <m/>
    <m/>
    <n v="9002"/>
    <s v="B 10.7 VL"/>
    <n v="10.7"/>
    <m/>
    <n v="38"/>
  </r>
  <r>
    <m/>
    <m/>
    <m/>
    <m/>
    <n v="8250812"/>
    <n v="38619"/>
    <m/>
    <s v="VERJUX"/>
    <s v="Lucas"/>
    <m/>
    <n v="2007"/>
    <s v="M"/>
    <m/>
    <n v="0"/>
    <m/>
    <m/>
    <m/>
    <n v="0"/>
    <m/>
    <m/>
    <m/>
    <n v="2508"/>
    <s v="2508BF"/>
    <s v="BALISE 25"/>
    <s v="FR"/>
    <m/>
    <m/>
    <n v="201"/>
    <x v="1"/>
    <s v=" B"/>
    <n v="201"/>
    <s v=" B"/>
    <s v=" B"/>
    <m/>
    <m/>
    <m/>
    <m/>
    <m/>
    <m/>
    <m/>
    <m/>
    <m/>
    <n v="0"/>
    <n v="0"/>
    <m/>
    <n v="0"/>
    <n v="0"/>
    <m/>
    <m/>
    <m/>
    <n v="0"/>
    <n v="0"/>
    <n v="0"/>
    <n v="0"/>
    <m/>
    <m/>
    <n v="9002"/>
    <s v="B 10.7 VL"/>
    <n v="10.7"/>
    <m/>
    <n v="38"/>
  </r>
  <r>
    <m/>
    <m/>
    <m/>
    <m/>
    <n v="8643377"/>
    <m/>
    <m/>
    <s v="VERPOOTEN"/>
    <s v="Jean Manuel"/>
    <m/>
    <n v="1963"/>
    <s v="M"/>
    <m/>
    <n v="0"/>
    <m/>
    <m/>
    <m/>
    <n v="0"/>
    <m/>
    <m/>
    <m/>
    <n v="90002"/>
    <s v="Pass_C"/>
    <s v="Pass Competition"/>
    <m/>
    <m/>
    <m/>
    <n v="201"/>
    <x v="1"/>
    <s v=" B"/>
    <n v="201"/>
    <s v=" B"/>
    <s v=" B"/>
    <m/>
    <m/>
    <m/>
    <m/>
    <m/>
    <m/>
    <m/>
    <m/>
    <m/>
    <m/>
    <m/>
    <m/>
    <m/>
    <m/>
    <m/>
    <m/>
    <m/>
    <m/>
    <n v="0"/>
    <n v="0"/>
    <n v="0"/>
    <m/>
    <m/>
    <n v="9002"/>
    <s v="B 10.7 VL"/>
    <n v="10.7"/>
    <m/>
    <n v="38"/>
  </r>
  <r>
    <m/>
    <m/>
    <m/>
    <m/>
    <n v="8260891"/>
    <n v="11655"/>
    <m/>
    <s v="ANDRE"/>
    <s v="Camille"/>
    <m/>
    <n v="1991"/>
    <s v="M"/>
    <m/>
    <n v="0"/>
    <m/>
    <m/>
    <m/>
    <n v="0"/>
    <m/>
    <m/>
    <m/>
    <n v="5116"/>
    <s v="5116GE"/>
    <s v="ASO Sillery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9190664"/>
    <n v="2920"/>
    <m/>
    <s v="ANTOINE"/>
    <s v="Christine"/>
    <m/>
    <n v="1964"/>
    <s v="F"/>
    <m/>
    <n v="0"/>
    <m/>
    <m/>
    <m/>
    <n v="0"/>
    <m/>
    <m/>
    <m/>
    <n v="1403"/>
    <s v="1403NM"/>
    <s v="O. CAENNAISE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228366"/>
    <n v="14351"/>
    <m/>
    <s v="AUTRAN"/>
    <s v="Francis"/>
    <m/>
    <n v="1960"/>
    <s v="M"/>
    <m/>
    <n v="0"/>
    <m/>
    <m/>
    <m/>
    <n v="0"/>
    <m/>
    <m/>
    <m/>
    <n v="7709"/>
    <s v="7709IF"/>
    <s v="USM/C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228380"/>
    <n v="39736"/>
    <m/>
    <s v="AUTRAN"/>
    <s v="Marylise"/>
    <m/>
    <n v="1961"/>
    <s v="F"/>
    <m/>
    <n v="0"/>
    <m/>
    <m/>
    <m/>
    <n v="0"/>
    <m/>
    <m/>
    <m/>
    <n v="7709"/>
    <s v="7709IF"/>
    <s v="USM/C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9090650"/>
    <n v="46184"/>
    <m/>
    <s v="BARBOSA"/>
    <s v="Céline"/>
    <m/>
    <n v="1983"/>
    <s v="F"/>
    <m/>
    <n v="0"/>
    <m/>
    <m/>
    <m/>
    <n v="0"/>
    <m/>
    <m/>
    <m/>
    <n v="8903"/>
    <s v="8903BF"/>
    <s v="YCONE-Sen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02198"/>
    <n v="28538"/>
    <m/>
    <s v="BEAUVISAGE"/>
    <s v="Valérie"/>
    <m/>
    <n v="1965"/>
    <s v="F"/>
    <m/>
    <n v="0"/>
    <m/>
    <m/>
    <m/>
    <n v="0"/>
    <m/>
    <m/>
    <m/>
    <n v="7605"/>
    <s v="7605NM"/>
    <s v="COB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m/>
    <m/>
    <m/>
    <s v="BERTRAND"/>
    <s v="Florian"/>
    <m/>
    <n v="1986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s v="X"/>
    <n v="0"/>
    <n v="0"/>
    <m/>
    <m/>
    <n v="9003"/>
    <s v="C 7.7 VM"/>
    <n v="7.7"/>
    <m/>
    <n v="29"/>
  </r>
  <r>
    <m/>
    <m/>
    <m/>
    <m/>
    <n v="1502046"/>
    <n v="42199"/>
    <m/>
    <s v="BESSIERE"/>
    <s v="Philip"/>
    <m/>
    <n v="1973"/>
    <s v="M"/>
    <m/>
    <n v="0"/>
    <m/>
    <m/>
    <m/>
    <n v="0"/>
    <m/>
    <m/>
    <m/>
    <n v="7512"/>
    <s v="7512IF"/>
    <s v="RO'Pari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7005068"/>
    <n v="15297"/>
    <m/>
    <s v="BOEHM"/>
    <s v="Yves"/>
    <m/>
    <n v="1954"/>
    <s v="M"/>
    <m/>
    <n v="0"/>
    <m/>
    <m/>
    <m/>
    <n v="0"/>
    <m/>
    <m/>
    <m/>
    <n v="6806"/>
    <s v="6806GE"/>
    <s v="COBuhl.Florival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99048"/>
    <n v="40152"/>
    <m/>
    <s v="BOUCHERIE"/>
    <s v="Achille"/>
    <m/>
    <n v="2009"/>
    <s v="M"/>
    <m/>
    <n v="0"/>
    <m/>
    <m/>
    <m/>
    <n v="0"/>
    <m/>
    <m/>
    <m/>
    <n v="7716"/>
    <s v="7716IF"/>
    <s v="BALISE 77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99090"/>
    <n v="40151"/>
    <m/>
    <s v="BOUCHERIE"/>
    <s v="caroline"/>
    <m/>
    <n v="1964"/>
    <s v="F"/>
    <m/>
    <n v="0"/>
    <m/>
    <m/>
    <m/>
    <n v="0"/>
    <m/>
    <m/>
    <m/>
    <n v="7716"/>
    <s v="7716IF"/>
    <s v="BALISE 77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99072"/>
    <n v="40154"/>
    <m/>
    <s v="BOUCHERIE"/>
    <s v="louis"/>
    <m/>
    <n v="1992"/>
    <s v="M"/>
    <m/>
    <n v="0"/>
    <m/>
    <m/>
    <m/>
    <n v="0"/>
    <m/>
    <m/>
    <m/>
    <n v="7716"/>
    <s v="7716IF"/>
    <s v="BALISE 77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99080"/>
    <n v="40150"/>
    <m/>
    <s v="BOUCHERIE"/>
    <s v="Pascal"/>
    <m/>
    <n v="1962"/>
    <s v="M"/>
    <m/>
    <n v="0"/>
    <m/>
    <m/>
    <m/>
    <n v="0"/>
    <m/>
    <m/>
    <m/>
    <n v="7716"/>
    <s v="7716IF"/>
    <s v="BALISE 77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50169"/>
    <n v="1396"/>
    <m/>
    <s v="BOUSSER"/>
    <s v="Philippe"/>
    <m/>
    <n v="1969"/>
    <s v="M"/>
    <m/>
    <n v="0"/>
    <m/>
    <m/>
    <m/>
    <n v="0"/>
    <m/>
    <m/>
    <m/>
    <n v="5703"/>
    <s v="5703GE"/>
    <s v="T.A. FAMECK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00186"/>
    <n v="39959"/>
    <m/>
    <s v="BROCHOT"/>
    <s v="Vincent"/>
    <m/>
    <n v="1977"/>
    <s v="M"/>
    <m/>
    <n v="0"/>
    <m/>
    <m/>
    <m/>
    <n v="0"/>
    <m/>
    <m/>
    <m/>
    <n v="7716"/>
    <s v="7716IF"/>
    <s v="BALISE 77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311220"/>
    <m/>
    <m/>
    <s v="BROWNE"/>
    <s v="Eoin"/>
    <m/>
    <n v="1973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n v="8217852"/>
    <m/>
    <m/>
    <s v="BUCKLEU"/>
    <s v="Fionn"/>
    <m/>
    <n v="2009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n v="1020702"/>
    <n v="41499"/>
    <m/>
    <s v="CARTON"/>
    <s v="Sébastien"/>
    <m/>
    <n v="1980"/>
    <s v="M"/>
    <m/>
    <n v="0"/>
    <m/>
    <m/>
    <m/>
    <n v="0"/>
    <m/>
    <m/>
    <m/>
    <n v="207"/>
    <s v="0207HF"/>
    <s v="Vervins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2170570"/>
    <m/>
    <m/>
    <s v="CHURCH"/>
    <s v="Richard"/>
    <m/>
    <n v="1969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m/>
    <m/>
    <m/>
    <s v="COGENT"/>
    <s v="Corentin"/>
    <m/>
    <n v="1994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s v="X"/>
    <n v="0"/>
    <n v="0"/>
    <m/>
    <m/>
    <n v="9003"/>
    <s v="C 7.7 VM"/>
    <n v="7.7"/>
    <m/>
    <n v="29"/>
  </r>
  <r>
    <m/>
    <m/>
    <m/>
    <m/>
    <n v="8281070"/>
    <m/>
    <m/>
    <s v="DE SMUL"/>
    <s v="Olivier"/>
    <m/>
    <n v="1970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m/>
    <m/>
    <m/>
    <s v="DE VAUCELLE"/>
    <s v="Guillaume"/>
    <m/>
    <n v="1985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s v="X"/>
    <n v="0"/>
    <n v="0"/>
    <m/>
    <m/>
    <n v="9003"/>
    <s v="C 7.7 VM"/>
    <n v="7.7"/>
    <m/>
    <n v="29"/>
  </r>
  <r>
    <m/>
    <m/>
    <m/>
    <m/>
    <n v="8099178"/>
    <n v="38790"/>
    <m/>
    <s v="DUBOIS"/>
    <s v="Matthéo"/>
    <m/>
    <n v="2007"/>
    <s v="M"/>
    <m/>
    <n v="0"/>
    <m/>
    <m/>
    <m/>
    <n v="0"/>
    <m/>
    <m/>
    <m/>
    <n v="9105"/>
    <s v="9105IF"/>
    <s v="COLE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1251959"/>
    <m/>
    <m/>
    <s v="DUYCK"/>
    <s v="An"/>
    <m/>
    <n v="1959"/>
    <s v="F"/>
    <m/>
    <n v="0"/>
    <m/>
    <m/>
    <m/>
    <n v="0"/>
    <m/>
    <m/>
    <m/>
    <n v="90002"/>
    <s v="Pass_C"/>
    <s v="Pass Competition"/>
    <m/>
    <m/>
    <m/>
    <n v="202"/>
    <x v="2"/>
    <s v="C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n v="8150116"/>
    <n v="3384"/>
    <m/>
    <s v="EUDIER"/>
    <s v="Patrick"/>
    <m/>
    <n v="1956"/>
    <s v="M"/>
    <m/>
    <n v="0"/>
    <m/>
    <m/>
    <m/>
    <n v="0"/>
    <m/>
    <m/>
    <m/>
    <n v="7605"/>
    <s v="7605NM"/>
    <s v="COB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60892"/>
    <n v="13233"/>
    <m/>
    <s v="EUDIER-LOUVEL"/>
    <s v="Agnès"/>
    <m/>
    <n v="1960"/>
    <s v="F"/>
    <m/>
    <n v="0"/>
    <m/>
    <m/>
    <m/>
    <n v="0"/>
    <m/>
    <m/>
    <m/>
    <n v="7605"/>
    <s v="7605NM"/>
    <s v="COB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99040"/>
    <n v="25240"/>
    <m/>
    <s v="FEUVRIER"/>
    <s v="Luc"/>
    <m/>
    <n v="1966"/>
    <s v="M"/>
    <m/>
    <n v="0"/>
    <m/>
    <m/>
    <m/>
    <n v="0"/>
    <m/>
    <m/>
    <m/>
    <n v="7807"/>
    <s v="7807IF"/>
    <s v="GO78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2230070"/>
    <n v="16267"/>
    <m/>
    <s v="FINAUD-GUYOT"/>
    <s v="Lionel"/>
    <m/>
    <n v="1963"/>
    <s v="M"/>
    <m/>
    <n v="0"/>
    <m/>
    <m/>
    <m/>
    <n v="0"/>
    <m/>
    <m/>
    <m/>
    <n v="7716"/>
    <s v="7716IF"/>
    <s v="BALISE 77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2069029"/>
    <n v="16190"/>
    <m/>
    <s v="FLOQUET"/>
    <s v="Patrick"/>
    <m/>
    <n v="1964"/>
    <s v="M"/>
    <m/>
    <n v="0"/>
    <m/>
    <m/>
    <m/>
    <n v="0"/>
    <m/>
    <m/>
    <m/>
    <n v="7709"/>
    <s v="7709IF"/>
    <s v="USM/C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1590800"/>
    <n v="39000"/>
    <m/>
    <s v="FRUCHART"/>
    <s v="Léa"/>
    <m/>
    <n v="2000"/>
    <s v="F"/>
    <m/>
    <n v="0"/>
    <m/>
    <m/>
    <m/>
    <n v="0"/>
    <m/>
    <m/>
    <m/>
    <n v="5907"/>
    <s v="5907HF"/>
    <s v="T.A.D.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31398"/>
    <n v="10627"/>
    <m/>
    <s v="GABRIEL"/>
    <s v="Philippe"/>
    <m/>
    <n v="1957"/>
    <s v="M"/>
    <m/>
    <n v="0"/>
    <m/>
    <m/>
    <m/>
    <n v="0"/>
    <m/>
    <m/>
    <m/>
    <n v="3105"/>
    <s v="3105OC"/>
    <s v="TOAC Orientati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7005157"/>
    <n v="884"/>
    <m/>
    <s v="GARDEUR"/>
    <s v="Julien"/>
    <m/>
    <n v="1980"/>
    <s v="M"/>
    <m/>
    <n v="0"/>
    <m/>
    <m/>
    <m/>
    <n v="0"/>
    <m/>
    <m/>
    <m/>
    <n v="7716"/>
    <s v="7716IF"/>
    <s v="BALISE 77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213248"/>
    <n v="41415"/>
    <m/>
    <s v="GAREL"/>
    <s v="Mathieu"/>
    <m/>
    <n v="1998"/>
    <s v="M"/>
    <m/>
    <n v="0"/>
    <m/>
    <m/>
    <m/>
    <n v="0"/>
    <m/>
    <m/>
    <m/>
    <n v="7512"/>
    <s v="7512IF"/>
    <s v="RO'Pari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1780704"/>
    <n v="8889"/>
    <m/>
    <s v="GARNIER"/>
    <s v="Vincent"/>
    <m/>
    <n v="1965"/>
    <s v="M"/>
    <m/>
    <n v="0"/>
    <m/>
    <m/>
    <m/>
    <n v="0"/>
    <m/>
    <m/>
    <m/>
    <n v="7807"/>
    <s v="7807IF"/>
    <s v="GO78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7002242"/>
    <m/>
    <m/>
    <s v="GARRAY"/>
    <s v="Julius"/>
    <m/>
    <n v="1959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n v="7005064"/>
    <n v="1978"/>
    <m/>
    <s v="GASNOT"/>
    <s v="Laurent"/>
    <m/>
    <n v="1968"/>
    <s v="M"/>
    <m/>
    <n v="0"/>
    <m/>
    <m/>
    <m/>
    <n v="0"/>
    <m/>
    <m/>
    <m/>
    <n v="9502"/>
    <s v="9502IF"/>
    <s v="ACBeauchamp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7061619"/>
    <n v="43271"/>
    <m/>
    <s v="GATTI"/>
    <s v="Céline"/>
    <m/>
    <n v="1982"/>
    <s v="F"/>
    <m/>
    <n v="0"/>
    <m/>
    <m/>
    <m/>
    <n v="0"/>
    <m/>
    <m/>
    <m/>
    <n v="7512"/>
    <s v="7512IF"/>
    <s v="RO'Pari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09912"/>
    <n v="36127"/>
    <m/>
    <s v="GIL SILVEIRA"/>
    <s v="Louis"/>
    <m/>
    <n v="2007"/>
    <s v="M"/>
    <m/>
    <n v="0"/>
    <m/>
    <m/>
    <m/>
    <n v="0"/>
    <m/>
    <m/>
    <m/>
    <n v="9404"/>
    <s v="9404IF"/>
    <s v="AS IGN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1502041"/>
    <n v="43521"/>
    <m/>
    <s v="GILLET"/>
    <s v="Raphaël"/>
    <m/>
    <n v="1996"/>
    <s v="M"/>
    <m/>
    <n v="0"/>
    <m/>
    <m/>
    <m/>
    <n v="0"/>
    <m/>
    <m/>
    <m/>
    <n v="7512"/>
    <s v="7512IF"/>
    <s v="RO'Pari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7501084"/>
    <n v="43842"/>
    <m/>
    <s v="GONSARD"/>
    <s v="Thomas"/>
    <m/>
    <n v="1980"/>
    <s v="M"/>
    <m/>
    <n v="0"/>
    <m/>
    <m/>
    <m/>
    <n v="0"/>
    <m/>
    <m/>
    <m/>
    <n v="9105"/>
    <s v="9105IF"/>
    <s v="COLE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9002012"/>
    <n v="16916"/>
    <m/>
    <s v="GRANGE"/>
    <s v="Philippe"/>
    <m/>
    <n v="1959"/>
    <s v="M"/>
    <m/>
    <n v="0"/>
    <m/>
    <m/>
    <m/>
    <n v="0"/>
    <m/>
    <m/>
    <m/>
    <n v="5803"/>
    <s v="5803BF"/>
    <s v="NORD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17761"/>
    <m/>
    <m/>
    <s v="GRENNAN"/>
    <s v="Eanna"/>
    <m/>
    <n v="2008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n v="8512092"/>
    <n v="896"/>
    <m/>
    <s v="HADJIANGELIS"/>
    <s v="Sophie"/>
    <m/>
    <n v="1982"/>
    <s v="F"/>
    <m/>
    <n v="0"/>
    <m/>
    <m/>
    <m/>
    <n v="0"/>
    <m/>
    <m/>
    <m/>
    <n v="7707"/>
    <s v="7707IF"/>
    <s v="OPA MONTIGNY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1780772"/>
    <n v="10693"/>
    <m/>
    <s v="JOLLY"/>
    <s v="Antoine"/>
    <m/>
    <n v="1971"/>
    <s v="M"/>
    <m/>
    <n v="0"/>
    <m/>
    <m/>
    <m/>
    <n v="0"/>
    <m/>
    <m/>
    <m/>
    <n v="7807"/>
    <s v="7807IF"/>
    <s v="GO78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09904"/>
    <n v="27719"/>
    <m/>
    <s v="JOLLY-JANSSON"/>
    <s v="Sonia"/>
    <m/>
    <n v="2007"/>
    <s v="F"/>
    <m/>
    <n v="0"/>
    <m/>
    <m/>
    <m/>
    <n v="0"/>
    <m/>
    <m/>
    <m/>
    <n v="7807"/>
    <s v="7807IF"/>
    <s v="GO78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m/>
    <m/>
    <m/>
    <s v="LAGORCE"/>
    <s v="Marion"/>
    <m/>
    <n v="1979"/>
    <s v="F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s v="X"/>
    <n v="0"/>
    <n v="0"/>
    <m/>
    <m/>
    <n v="9003"/>
    <s v="C 7.7 VM"/>
    <n v="7.7"/>
    <m/>
    <n v="29"/>
  </r>
  <r>
    <m/>
    <m/>
    <m/>
    <m/>
    <m/>
    <m/>
    <m/>
    <s v="LANCRET"/>
    <s v="Matthieu"/>
    <m/>
    <n v="1987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s v="X"/>
    <n v="0"/>
    <n v="0"/>
    <m/>
    <m/>
    <n v="9003"/>
    <s v="C 7.7 VM"/>
    <n v="7.7"/>
    <m/>
    <n v="29"/>
  </r>
  <r>
    <m/>
    <m/>
    <m/>
    <m/>
    <n v="9001900"/>
    <n v="27711"/>
    <m/>
    <s v="LE CAM"/>
    <s v="Miti"/>
    <m/>
    <n v="1996"/>
    <s v="F"/>
    <m/>
    <n v="0"/>
    <m/>
    <m/>
    <m/>
    <n v="0"/>
    <m/>
    <m/>
    <m/>
    <n v="3502"/>
    <s v="3502BR"/>
    <s v="CRC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488585"/>
    <n v="32962"/>
    <m/>
    <s v="LE HELLOCO"/>
    <s v="Yann"/>
    <m/>
    <n v="1969"/>
    <s v="M"/>
    <m/>
    <n v="0"/>
    <m/>
    <m/>
    <m/>
    <n v="0"/>
    <m/>
    <m/>
    <m/>
    <n v="7707"/>
    <s v="7707IF"/>
    <s v="OPA MONTIGNY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34754"/>
    <n v="1386"/>
    <m/>
    <s v="LELOUP"/>
    <s v="Philippe"/>
    <m/>
    <n v="1955"/>
    <s v="M"/>
    <m/>
    <n v="0"/>
    <m/>
    <m/>
    <m/>
    <n v="0"/>
    <m/>
    <m/>
    <m/>
    <n v="7808"/>
    <s v="7808IF"/>
    <s v="ASMB-C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59075"/>
    <n v="5421"/>
    <m/>
    <s v="LOTERIE"/>
    <s v="Jean-Francois"/>
    <m/>
    <n v="1965"/>
    <s v="M"/>
    <m/>
    <n v="0"/>
    <m/>
    <m/>
    <m/>
    <n v="0"/>
    <m/>
    <m/>
    <m/>
    <n v="5907"/>
    <s v="5907HF"/>
    <s v="T.A.D.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m/>
    <m/>
    <m/>
    <s v="LOUIS"/>
    <s v="Anais"/>
    <m/>
    <n v="1985"/>
    <s v="F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s v="X"/>
    <n v="0"/>
    <n v="0"/>
    <m/>
    <m/>
    <n v="9003"/>
    <s v="C 7.7 VM"/>
    <n v="7.7"/>
    <m/>
    <n v="29"/>
  </r>
  <r>
    <m/>
    <m/>
    <m/>
    <m/>
    <n v="2052655"/>
    <n v="43039"/>
    <m/>
    <s v="LUCAS"/>
    <s v="Antoine"/>
    <m/>
    <n v="1992"/>
    <s v="M"/>
    <m/>
    <n v="0"/>
    <m/>
    <m/>
    <m/>
    <n v="0"/>
    <m/>
    <m/>
    <m/>
    <n v="9105"/>
    <s v="9105IF"/>
    <s v="COLE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92157"/>
    <n v="1487"/>
    <m/>
    <s v="MARCHESIN"/>
    <s v="Sylvie"/>
    <m/>
    <n v="1957"/>
    <s v="F"/>
    <m/>
    <n v="0"/>
    <m/>
    <m/>
    <m/>
    <n v="0"/>
    <m/>
    <m/>
    <m/>
    <n v="5402"/>
    <s v="5402GE"/>
    <s v="SCAPA NANCY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519082"/>
    <n v="35092"/>
    <m/>
    <s v="MARIENNE"/>
    <s v="Tom"/>
    <m/>
    <n v="2007"/>
    <s v="M"/>
    <m/>
    <n v="0"/>
    <m/>
    <m/>
    <m/>
    <n v="0"/>
    <m/>
    <m/>
    <m/>
    <n v="7707"/>
    <s v="7707IF"/>
    <s v="OPA MONTIGNY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17774"/>
    <m/>
    <m/>
    <s v="MASTERSON"/>
    <s v="Conor"/>
    <m/>
    <n v="2007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n v="1080878"/>
    <n v="43396"/>
    <m/>
    <s v="MONTILLA"/>
    <s v="Mathilde"/>
    <m/>
    <n v="1978"/>
    <s v="F"/>
    <m/>
    <n v="0"/>
    <m/>
    <m/>
    <m/>
    <n v="0"/>
    <m/>
    <m/>
    <m/>
    <n v="9105"/>
    <s v="9105IF"/>
    <s v="COLE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51701"/>
    <n v="29848"/>
    <m/>
    <s v="MOULET"/>
    <s v="Nicolas"/>
    <m/>
    <n v="1969"/>
    <s v="M"/>
    <m/>
    <n v="0"/>
    <m/>
    <m/>
    <m/>
    <n v="0"/>
    <m/>
    <m/>
    <m/>
    <n v="2517"/>
    <s v="2517BF"/>
    <s v="OTB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99031"/>
    <n v="2893"/>
    <m/>
    <s v="MOULIERE"/>
    <s v="Marie-Hélène"/>
    <m/>
    <n v="1975"/>
    <s v="F"/>
    <m/>
    <n v="0"/>
    <m/>
    <m/>
    <m/>
    <n v="0"/>
    <m/>
    <m/>
    <m/>
    <n v="207"/>
    <s v="0207HF"/>
    <s v="Vervins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04761"/>
    <m/>
    <m/>
    <s v="NIJST"/>
    <s v="Kiara"/>
    <m/>
    <n v="2007"/>
    <s v="F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n v="8003923"/>
    <m/>
    <m/>
    <s v="O'DONNELL"/>
    <s v="Liam"/>
    <m/>
    <n v="2009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n v="0"/>
    <n v="0"/>
    <n v="0"/>
    <m/>
    <m/>
    <n v="9003"/>
    <s v="C 7.7 VM"/>
    <n v="7.7"/>
    <m/>
    <n v="29"/>
  </r>
  <r>
    <m/>
    <m/>
    <m/>
    <m/>
    <n v="2006586"/>
    <n v="25958"/>
    <m/>
    <s v="PAILLARD"/>
    <s v="Edme"/>
    <m/>
    <n v="1996"/>
    <s v="F"/>
    <m/>
    <n v="0"/>
    <m/>
    <m/>
    <m/>
    <n v="0"/>
    <m/>
    <m/>
    <m/>
    <n v="7512"/>
    <s v="7512IF"/>
    <s v="RO'Pari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32007"/>
    <n v="36880"/>
    <m/>
    <s v="PAYET"/>
    <s v="Nathan"/>
    <m/>
    <n v="2007"/>
    <s v="M"/>
    <m/>
    <n v="0"/>
    <m/>
    <m/>
    <m/>
    <n v="0"/>
    <m/>
    <m/>
    <m/>
    <n v="9105"/>
    <s v="9105IF"/>
    <s v="COLE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52630"/>
    <n v="30149"/>
    <m/>
    <s v="PIERRE"/>
    <s v="Elodie"/>
    <m/>
    <n v="1983"/>
    <s v="F"/>
    <m/>
    <n v="0"/>
    <m/>
    <m/>
    <m/>
    <n v="0"/>
    <m/>
    <m/>
    <m/>
    <n v="7605"/>
    <s v="7605NM"/>
    <s v="COB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40464"/>
    <n v="22029"/>
    <m/>
    <s v="PINSARD"/>
    <s v="Frédéric"/>
    <m/>
    <n v="1964"/>
    <s v="M"/>
    <m/>
    <n v="0"/>
    <m/>
    <m/>
    <m/>
    <n v="0"/>
    <m/>
    <m/>
    <m/>
    <n v="7715"/>
    <s v="7715IF"/>
    <s v="AS SAMOI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m/>
    <m/>
    <m/>
    <s v="POTIER DE COURCY"/>
    <s v="Benoit"/>
    <m/>
    <n v="1980"/>
    <s v="M"/>
    <m/>
    <n v="0"/>
    <m/>
    <m/>
    <m/>
    <n v="0"/>
    <m/>
    <m/>
    <m/>
    <n v="90002"/>
    <s v="Pass_C"/>
    <s v="Pass Competition"/>
    <m/>
    <m/>
    <m/>
    <n v="202"/>
    <x v="2"/>
    <s v="C"/>
    <n v="202"/>
    <s v="C"/>
    <s v="C"/>
    <m/>
    <m/>
    <m/>
    <m/>
    <m/>
    <m/>
    <m/>
    <m/>
    <m/>
    <m/>
    <m/>
    <m/>
    <m/>
    <m/>
    <m/>
    <m/>
    <m/>
    <m/>
    <s v="X"/>
    <n v="0"/>
    <n v="0"/>
    <m/>
    <m/>
    <n v="9003"/>
    <s v="C 7.7 VM"/>
    <n v="7.7"/>
    <m/>
    <n v="29"/>
  </r>
  <r>
    <m/>
    <m/>
    <m/>
    <m/>
    <n v="8516576"/>
    <n v="29611"/>
    <m/>
    <s v="POULAIN"/>
    <s v="Stéphanie"/>
    <m/>
    <n v="1976"/>
    <s v="F"/>
    <m/>
    <n v="0"/>
    <m/>
    <m/>
    <m/>
    <n v="0"/>
    <m/>
    <m/>
    <m/>
    <n v="7605"/>
    <s v="7605NM"/>
    <s v="COB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516990"/>
    <n v="922"/>
    <m/>
    <s v="PREVOST"/>
    <s v="Pascale"/>
    <m/>
    <n v="1957"/>
    <s v="F"/>
    <m/>
    <n v="0"/>
    <m/>
    <m/>
    <m/>
    <n v="0"/>
    <m/>
    <m/>
    <m/>
    <n v="7707"/>
    <s v="7707IF"/>
    <s v="OPA MONTIGNY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99018"/>
    <n v="3200"/>
    <m/>
    <s v="RAUTURIER"/>
    <s v="Nathalie"/>
    <m/>
    <n v="1966"/>
    <s v="F"/>
    <m/>
    <n v="0"/>
    <m/>
    <m/>
    <m/>
    <n v="0"/>
    <m/>
    <m/>
    <m/>
    <n v="7807"/>
    <s v="7807IF"/>
    <s v="GO78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1601708"/>
    <n v="14676"/>
    <m/>
    <s v="RICARD BORCHORST"/>
    <s v="Clarissa"/>
    <m/>
    <n v="1982"/>
    <s v="F"/>
    <m/>
    <n v="0"/>
    <m/>
    <m/>
    <m/>
    <n v="0"/>
    <m/>
    <m/>
    <m/>
    <n v="9502"/>
    <s v="9502IF"/>
    <s v="ACBeauchamp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02028"/>
    <n v="29825"/>
    <m/>
    <s v="ROBBE"/>
    <s v="Jean-Marc"/>
    <m/>
    <n v="1957"/>
    <s v="M"/>
    <m/>
    <n v="0"/>
    <m/>
    <m/>
    <m/>
    <n v="0"/>
    <m/>
    <m/>
    <m/>
    <n v="7723"/>
    <s v="7723IF"/>
    <s v="ANSA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150622"/>
    <n v="41289"/>
    <m/>
    <s v="ROBINSON"/>
    <s v="Richard"/>
    <m/>
    <n v="1968"/>
    <s v="M"/>
    <m/>
    <n v="0"/>
    <m/>
    <m/>
    <m/>
    <n v="0"/>
    <m/>
    <m/>
    <m/>
    <n v="5116"/>
    <s v="5116GE"/>
    <s v="ASO Sillery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971586"/>
    <n v="21452"/>
    <m/>
    <s v="RODRIGUEZ VAZQUEZ"/>
    <s v="Félix"/>
    <m/>
    <n v="1961"/>
    <s v="M"/>
    <m/>
    <n v="0"/>
    <m/>
    <m/>
    <m/>
    <n v="0"/>
    <m/>
    <m/>
    <m/>
    <n v="9404"/>
    <s v="9404IF"/>
    <s v="AS IGN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70375"/>
    <n v="31676"/>
    <m/>
    <s v="ROUX"/>
    <s v="Mélanie"/>
    <m/>
    <n v="1975"/>
    <s v="F"/>
    <m/>
    <n v="0"/>
    <m/>
    <m/>
    <m/>
    <n v="0"/>
    <m/>
    <m/>
    <m/>
    <n v="7807"/>
    <s v="7807IF"/>
    <s v="GO78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26466"/>
    <n v="28411"/>
    <m/>
    <s v="SEGONDY"/>
    <s v="Agnès"/>
    <m/>
    <n v="1969"/>
    <s v="F"/>
    <m/>
    <n v="0"/>
    <m/>
    <m/>
    <m/>
    <n v="0"/>
    <m/>
    <m/>
    <m/>
    <n v="5703"/>
    <s v="5703GE"/>
    <s v="T.A. FAMECK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503808"/>
    <n v="16119"/>
    <m/>
    <s v="SENTAGNE"/>
    <s v="François"/>
    <m/>
    <n v="1968"/>
    <s v="M"/>
    <m/>
    <n v="0"/>
    <m/>
    <m/>
    <m/>
    <n v="0"/>
    <m/>
    <m/>
    <m/>
    <n v="7701"/>
    <s v="7701IF"/>
    <s v="CSA CNSD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30408"/>
    <n v="30002"/>
    <m/>
    <s v="THENOZ"/>
    <s v="Jérémie"/>
    <m/>
    <n v="2008"/>
    <s v="M"/>
    <m/>
    <n v="0"/>
    <m/>
    <m/>
    <m/>
    <n v="0"/>
    <m/>
    <m/>
    <m/>
    <n v="7807"/>
    <s v="7807IF"/>
    <s v="GO78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509002"/>
    <n v="2499"/>
    <m/>
    <s v="THOMASSIN"/>
    <s v="Fabrice"/>
    <m/>
    <n v="1971"/>
    <s v="M"/>
    <m/>
    <n v="0"/>
    <m/>
    <m/>
    <m/>
    <n v="0"/>
    <m/>
    <m/>
    <m/>
    <n v="8903"/>
    <s v="8903BF"/>
    <s v="YCONE-Sens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335512"/>
    <n v="46050"/>
    <m/>
    <s v="VANSCHUYTBROECK"/>
    <s v="Philippe"/>
    <m/>
    <n v="1973"/>
    <s v="M"/>
    <m/>
    <n v="0"/>
    <m/>
    <m/>
    <m/>
    <n v="0"/>
    <m/>
    <m/>
    <m/>
    <n v="207"/>
    <s v="0207HF"/>
    <s v="Vervins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066308"/>
    <n v="46049"/>
    <m/>
    <s v="VANSCHUYTBROECK"/>
    <s v="Régis"/>
    <m/>
    <n v="2007"/>
    <s v="M"/>
    <m/>
    <n v="0"/>
    <m/>
    <m/>
    <m/>
    <n v="0"/>
    <m/>
    <m/>
    <m/>
    <n v="207"/>
    <s v="0207HF"/>
    <s v="VervinsO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1702870"/>
    <n v="28217"/>
    <m/>
    <s v="VOLKOV"/>
    <s v="Andreï"/>
    <m/>
    <n v="1974"/>
    <s v="M"/>
    <m/>
    <n v="0"/>
    <m/>
    <m/>
    <m/>
    <n v="0"/>
    <m/>
    <m/>
    <m/>
    <n v="9211"/>
    <s v="9211IF"/>
    <s v="DSA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30957"/>
    <n v="1955"/>
    <m/>
    <s v="WIBART"/>
    <s v="Hélier"/>
    <m/>
    <n v="1957"/>
    <s v="M"/>
    <m/>
    <n v="0"/>
    <m/>
    <m/>
    <m/>
    <n v="0"/>
    <m/>
    <m/>
    <m/>
    <n v="9502"/>
    <s v="9502IF"/>
    <s v="ACBeauchamp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n v="8240957"/>
    <n v="1956"/>
    <m/>
    <s v="WIBART"/>
    <s v="Martine"/>
    <m/>
    <n v="1960"/>
    <s v="F"/>
    <m/>
    <n v="0"/>
    <m/>
    <m/>
    <m/>
    <n v="0"/>
    <m/>
    <m/>
    <m/>
    <n v="9502"/>
    <s v="9502IF"/>
    <s v="ACBeauchamp"/>
    <s v="FR"/>
    <m/>
    <m/>
    <n v="202"/>
    <x v="2"/>
    <s v="C"/>
    <n v="202"/>
    <s v="C"/>
    <s v="C"/>
    <m/>
    <m/>
    <m/>
    <m/>
    <m/>
    <m/>
    <m/>
    <m/>
    <m/>
    <n v="0"/>
    <n v="0"/>
    <m/>
    <n v="0"/>
    <n v="0"/>
    <m/>
    <m/>
    <m/>
    <n v="0"/>
    <n v="0"/>
    <n v="0"/>
    <n v="0"/>
    <m/>
    <m/>
    <n v="9003"/>
    <s v="C 7.7 VM"/>
    <n v="7.7"/>
    <m/>
    <n v="29"/>
  </r>
  <r>
    <m/>
    <m/>
    <m/>
    <m/>
    <m/>
    <m/>
    <m/>
    <s v="AGALERIDIS"/>
    <s v="Julie"/>
    <m/>
    <n v="1998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s v="X"/>
    <n v="0"/>
    <n v="0"/>
    <m/>
    <m/>
    <n v="9004"/>
    <s v="D 5.7 VC"/>
    <n v="5.8"/>
    <m/>
    <n v="21"/>
  </r>
  <r>
    <m/>
    <m/>
    <m/>
    <m/>
    <n v="8221060"/>
    <n v="20995"/>
    <m/>
    <s v="BAILLET"/>
    <s v="Laëtitia"/>
    <m/>
    <n v="1982"/>
    <s v="F"/>
    <m/>
    <n v="0"/>
    <m/>
    <m/>
    <m/>
    <n v="0"/>
    <m/>
    <m/>
    <m/>
    <n v="6013"/>
    <s v="6013HF"/>
    <s v="LABO2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049193"/>
    <n v="22987"/>
    <m/>
    <s v="BENITO"/>
    <s v="Ariel"/>
    <m/>
    <n v="1956"/>
    <s v="M"/>
    <m/>
    <n v="0"/>
    <m/>
    <m/>
    <m/>
    <n v="0"/>
    <m/>
    <m/>
    <m/>
    <n v="7707"/>
    <s v="7707IF"/>
    <s v="OPA MONTIGNY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500434"/>
    <n v="42598"/>
    <m/>
    <s v="BOURGOIN"/>
    <s v="Sylvain"/>
    <m/>
    <n v="1979"/>
    <s v="M"/>
    <m/>
    <n v="0"/>
    <m/>
    <m/>
    <m/>
    <n v="0"/>
    <m/>
    <m/>
    <m/>
    <n v="8903"/>
    <s v="8903BF"/>
    <s v="YCONE-Sens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m/>
    <m/>
    <m/>
    <s v="BOURRIER"/>
    <s v="Marine"/>
    <m/>
    <n v="1997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s v="X"/>
    <n v="0"/>
    <n v="0"/>
    <m/>
    <m/>
    <n v="9004"/>
    <s v="D 5.7 VC"/>
    <n v="5.8"/>
    <m/>
    <n v="21"/>
  </r>
  <r>
    <m/>
    <m/>
    <m/>
    <m/>
    <m/>
    <m/>
    <m/>
    <s v="BRETELLE"/>
    <s v="David"/>
    <m/>
    <n v="1980"/>
    <s v="M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s v="X"/>
    <n v="0"/>
    <n v="0"/>
    <m/>
    <m/>
    <n v="9004"/>
    <s v="D 5.7 VC"/>
    <n v="5.8"/>
    <m/>
    <n v="21"/>
  </r>
  <r>
    <m/>
    <m/>
    <m/>
    <m/>
    <n v="8217911"/>
    <m/>
    <m/>
    <s v="BROWNE"/>
    <s v="Niamh"/>
    <m/>
    <n v="2009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8002145"/>
    <n v="38663"/>
    <m/>
    <s v="CHANTELOUP"/>
    <s v="Zélie"/>
    <m/>
    <n v="2006"/>
    <s v="F"/>
    <m/>
    <n v="0"/>
    <m/>
    <m/>
    <m/>
    <n v="0"/>
    <m/>
    <m/>
    <m/>
    <n v="4504"/>
    <s v="4504CE"/>
    <s v="ASCO ORLEANS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175099"/>
    <m/>
    <m/>
    <s v="CHURCH"/>
    <s v="Hamish"/>
    <m/>
    <n v="2009"/>
    <s v="M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2170587"/>
    <m/>
    <m/>
    <s v="CHURCH"/>
    <s v="Orla"/>
    <m/>
    <n v="2007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8018615"/>
    <n v="18615"/>
    <m/>
    <s v="COP"/>
    <s v="Goran"/>
    <m/>
    <n v="1975"/>
    <s v="M"/>
    <m/>
    <n v="0"/>
    <m/>
    <m/>
    <m/>
    <n v="0"/>
    <m/>
    <m/>
    <m/>
    <n v="9510"/>
    <s v="9510IF"/>
    <s v="ROC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m/>
    <m/>
    <m/>
    <s v="COQUET"/>
    <s v="Coralie"/>
    <m/>
    <n v="1981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s v="X"/>
    <n v="0"/>
    <n v="0"/>
    <m/>
    <m/>
    <n v="9004"/>
    <s v="D 5.7 VC"/>
    <n v="5.8"/>
    <m/>
    <n v="21"/>
  </r>
  <r>
    <m/>
    <m/>
    <m/>
    <m/>
    <m/>
    <m/>
    <m/>
    <s v="COQUET"/>
    <s v="Raphael"/>
    <m/>
    <n v="1977"/>
    <s v="M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s v="X"/>
    <n v="0"/>
    <n v="0"/>
    <m/>
    <m/>
    <n v="9004"/>
    <s v="D 5.7 VC"/>
    <n v="5.8"/>
    <m/>
    <n v="21"/>
  </r>
  <r>
    <m/>
    <m/>
    <m/>
    <m/>
    <n v="8217758"/>
    <m/>
    <m/>
    <s v="COYLE"/>
    <s v="Deirdre"/>
    <m/>
    <n v="1972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2098455"/>
    <n v="879"/>
    <m/>
    <s v="DEROSIN"/>
    <s v="Gilles"/>
    <m/>
    <n v="1961"/>
    <s v="M"/>
    <m/>
    <n v="0"/>
    <m/>
    <m/>
    <m/>
    <n v="0"/>
    <m/>
    <m/>
    <m/>
    <n v="7707"/>
    <s v="7707IF"/>
    <s v="OPA MONTIGNY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1409487"/>
    <m/>
    <m/>
    <s v="DESCHEPPER"/>
    <s v="Ellen"/>
    <m/>
    <n v="1977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7020865"/>
    <n v="34089"/>
    <m/>
    <s v="DEZILES"/>
    <s v="Laurent"/>
    <m/>
    <n v="1965"/>
    <s v="M"/>
    <m/>
    <n v="0"/>
    <m/>
    <m/>
    <m/>
    <n v="0"/>
    <m/>
    <m/>
    <m/>
    <n v="7205"/>
    <s v="7205PL"/>
    <s v="LMA 72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53886"/>
    <m/>
    <m/>
    <s v="DUCROUX"/>
    <s v="B"/>
    <m/>
    <n v="1969"/>
    <s v="M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1001936"/>
    <n v="17542"/>
    <m/>
    <s v="FAUQUANT"/>
    <s v="Riwal"/>
    <m/>
    <n v="2002"/>
    <s v="M"/>
    <m/>
    <n v="0"/>
    <m/>
    <m/>
    <m/>
    <n v="0"/>
    <m/>
    <m/>
    <m/>
    <n v="7807"/>
    <s v="7807IF"/>
    <s v="GO78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260678"/>
    <n v="29913"/>
    <m/>
    <s v="GERARDIN"/>
    <s v="Marie-Pierre"/>
    <m/>
    <n v="1978"/>
    <s v="F"/>
    <m/>
    <n v="0"/>
    <m/>
    <m/>
    <m/>
    <n v="0"/>
    <m/>
    <m/>
    <m/>
    <n v="4504"/>
    <s v="4504CE"/>
    <s v="ASCO ORLEANS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094046"/>
    <n v="26857"/>
    <m/>
    <s v="GIL SILVEIRA"/>
    <s v="Carlos"/>
    <m/>
    <n v="1973"/>
    <s v="M"/>
    <m/>
    <n v="0"/>
    <m/>
    <m/>
    <m/>
    <n v="0"/>
    <m/>
    <m/>
    <m/>
    <n v="9404"/>
    <s v="9404IF"/>
    <s v="AS IGN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339474"/>
    <n v="17536"/>
    <m/>
    <s v="GLASSET"/>
    <s v="Isabelle"/>
    <m/>
    <n v="1959"/>
    <s v="F"/>
    <m/>
    <n v="0"/>
    <m/>
    <m/>
    <m/>
    <n v="0"/>
    <m/>
    <m/>
    <m/>
    <n v="7807"/>
    <s v="7807IF"/>
    <s v="GO78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009952"/>
    <n v="15296"/>
    <m/>
    <s v="GREVET"/>
    <s v="Claudie"/>
    <m/>
    <n v="1960"/>
    <s v="F"/>
    <m/>
    <n v="0"/>
    <m/>
    <m/>
    <m/>
    <n v="0"/>
    <m/>
    <m/>
    <m/>
    <n v="6806"/>
    <s v="6806GE"/>
    <s v="COBuhl.Florival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037868"/>
    <n v="25891"/>
    <m/>
    <s v="GUERIN"/>
    <s v="Fabien"/>
    <m/>
    <n v="1977"/>
    <s v="M"/>
    <m/>
    <n v="0"/>
    <m/>
    <m/>
    <m/>
    <n v="0"/>
    <m/>
    <m/>
    <m/>
    <n v="7716"/>
    <s v="7716IF"/>
    <s v="BALISE 77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1710962"/>
    <n v="15015"/>
    <m/>
    <s v="GUINOT"/>
    <s v="Véronique"/>
    <m/>
    <n v="1962"/>
    <s v="F"/>
    <m/>
    <n v="0"/>
    <m/>
    <m/>
    <m/>
    <n v="0"/>
    <m/>
    <m/>
    <m/>
    <n v="2108"/>
    <s v="2108BF"/>
    <s v="Talant SO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9001020"/>
    <n v="2146"/>
    <m/>
    <s v="HAMON"/>
    <s v="Patrick"/>
    <m/>
    <n v="1949"/>
    <s v="M"/>
    <m/>
    <n v="0"/>
    <m/>
    <m/>
    <m/>
    <n v="0"/>
    <m/>
    <m/>
    <m/>
    <n v="7716"/>
    <s v="7716IF"/>
    <s v="BALISE 77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027612"/>
    <m/>
    <m/>
    <s v="HAROUNA MANI"/>
    <s v="Aboubacar"/>
    <m/>
    <n v="1999"/>
    <s v="M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8072008"/>
    <m/>
    <m/>
    <s v="HASSET"/>
    <s v="Sadhbh"/>
    <m/>
    <n v="2008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8300170"/>
    <n v="1384"/>
    <m/>
    <s v="HERTZOG"/>
    <s v="Tristan"/>
    <m/>
    <n v="1970"/>
    <s v="M"/>
    <m/>
    <n v="0"/>
    <m/>
    <m/>
    <m/>
    <n v="0"/>
    <m/>
    <m/>
    <m/>
    <n v="7808"/>
    <s v="7808IF"/>
    <s v="ASMB-CO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158021"/>
    <n v="45088"/>
    <m/>
    <s v="ILLIEN"/>
    <s v="Pierre"/>
    <m/>
    <n v="1990"/>
    <s v="M"/>
    <m/>
    <n v="0"/>
    <m/>
    <m/>
    <m/>
    <n v="0"/>
    <m/>
    <m/>
    <m/>
    <n v="7716"/>
    <s v="7716IF"/>
    <s v="BALISE 77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009915"/>
    <n v="9597"/>
    <m/>
    <s v="JANSSON"/>
    <s v="Jeanette"/>
    <m/>
    <n v="1968"/>
    <s v="F"/>
    <m/>
    <n v="0"/>
    <m/>
    <m/>
    <m/>
    <n v="0"/>
    <m/>
    <m/>
    <m/>
    <n v="7807"/>
    <s v="7807IF"/>
    <s v="GO78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9925740"/>
    <n v="4581"/>
    <m/>
    <s v="KARPYN"/>
    <s v="Christian"/>
    <m/>
    <n v="1957"/>
    <s v="M"/>
    <m/>
    <n v="0"/>
    <m/>
    <m/>
    <m/>
    <n v="0"/>
    <m/>
    <m/>
    <m/>
    <n v="9404"/>
    <s v="9404IF"/>
    <s v="AS IGN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105175"/>
    <n v="38486"/>
    <m/>
    <s v="KORZEC"/>
    <s v="Patricia"/>
    <m/>
    <n v="1973"/>
    <s v="F"/>
    <m/>
    <n v="0"/>
    <m/>
    <m/>
    <m/>
    <n v="0"/>
    <m/>
    <m/>
    <m/>
    <n v="7716"/>
    <s v="7716IF"/>
    <s v="BALISE 77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1205807"/>
    <n v="43398"/>
    <m/>
    <s v="KURTZ"/>
    <s v="Enora"/>
    <m/>
    <n v="2007"/>
    <s v="F"/>
    <m/>
    <n v="0"/>
    <m/>
    <m/>
    <m/>
    <n v="0"/>
    <m/>
    <m/>
    <m/>
    <n v="9105"/>
    <s v="9105IF"/>
    <s v="COLE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140602"/>
    <n v="35038"/>
    <m/>
    <s v="LEHAULT"/>
    <s v="Mathilde"/>
    <m/>
    <n v="1996"/>
    <s v="F"/>
    <m/>
    <n v="0"/>
    <m/>
    <m/>
    <m/>
    <n v="0"/>
    <m/>
    <m/>
    <m/>
    <n v="1406"/>
    <s v="1406NM"/>
    <s v="vir'king raid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1910508"/>
    <n v="23715"/>
    <m/>
    <s v="LINTANF"/>
    <s v="Isabelle"/>
    <m/>
    <n v="1972"/>
    <s v="F"/>
    <m/>
    <n v="0"/>
    <m/>
    <m/>
    <m/>
    <n v="0"/>
    <m/>
    <m/>
    <m/>
    <n v="9105"/>
    <s v="9105IF"/>
    <s v="COLE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1890308"/>
    <n v="29450"/>
    <m/>
    <s v="MAGNY"/>
    <s v="Eric"/>
    <m/>
    <n v="1961"/>
    <s v="M"/>
    <m/>
    <n v="0"/>
    <m/>
    <m/>
    <m/>
    <n v="0"/>
    <m/>
    <m/>
    <m/>
    <n v="8903"/>
    <s v="8903BF"/>
    <s v="YCONE-Sens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m/>
    <m/>
    <m/>
    <s v="MORISSEAU"/>
    <s v="Laurent"/>
    <m/>
    <n v="1968"/>
    <s v="M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s v="X"/>
    <n v="0"/>
    <n v="0"/>
    <m/>
    <m/>
    <n v="9004"/>
    <s v="D 5.7 VC"/>
    <n v="5.8"/>
    <m/>
    <n v="21"/>
  </r>
  <r>
    <m/>
    <m/>
    <m/>
    <m/>
    <n v="8020701"/>
    <n v="33221"/>
    <m/>
    <s v="MOULIERE"/>
    <s v="Lola"/>
    <m/>
    <n v="2007"/>
    <s v="F"/>
    <m/>
    <n v="0"/>
    <m/>
    <m/>
    <m/>
    <n v="0"/>
    <m/>
    <m/>
    <m/>
    <n v="207"/>
    <s v="0207HF"/>
    <s v="VervinsO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020706"/>
    <n v="33220"/>
    <m/>
    <s v="MOULIERE"/>
    <s v="Louise"/>
    <m/>
    <n v="2006"/>
    <s v="F"/>
    <m/>
    <n v="0"/>
    <m/>
    <m/>
    <m/>
    <n v="0"/>
    <m/>
    <m/>
    <m/>
    <n v="207"/>
    <s v="0207HF"/>
    <s v="VervinsO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1391736"/>
    <m/>
    <m/>
    <s v="PALMANS"/>
    <s v="Kristel"/>
    <m/>
    <n v="1966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8455505"/>
    <n v="25927"/>
    <m/>
    <s v="PEKER"/>
    <s v="Valérie"/>
    <m/>
    <n v="1964"/>
    <s v="F"/>
    <m/>
    <n v="0"/>
    <m/>
    <m/>
    <m/>
    <n v="0"/>
    <m/>
    <m/>
    <m/>
    <n v="7707"/>
    <s v="7707IF"/>
    <s v="OPA MONTIGNY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m/>
    <m/>
    <m/>
    <s v="POLLENNE"/>
    <s v="Karine"/>
    <m/>
    <n v="1983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s v="X"/>
    <n v="0"/>
    <n v="0"/>
    <m/>
    <m/>
    <n v="9004"/>
    <s v="D 5.7 VC"/>
    <n v="5.8"/>
    <m/>
    <n v="21"/>
  </r>
  <r>
    <m/>
    <m/>
    <m/>
    <m/>
    <n v="8384646"/>
    <n v="41059"/>
    <m/>
    <s v="POULAIN"/>
    <s v="Coralie"/>
    <m/>
    <n v="2007"/>
    <s v="F"/>
    <m/>
    <n v="0"/>
    <m/>
    <m/>
    <m/>
    <n v="0"/>
    <m/>
    <m/>
    <m/>
    <n v="7707"/>
    <s v="7707IF"/>
    <s v="OPA MONTIGNY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137707"/>
    <n v="11479"/>
    <m/>
    <s v="POUSSEL"/>
    <s v="Fabien"/>
    <m/>
    <n v="1974"/>
    <s v="M"/>
    <m/>
    <n v="0"/>
    <m/>
    <m/>
    <m/>
    <n v="0"/>
    <m/>
    <m/>
    <m/>
    <n v="7707"/>
    <s v="7707IF"/>
    <s v="OPA MONTIGNY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220669"/>
    <n v="41291"/>
    <m/>
    <s v="ROBINSON"/>
    <s v="Laurence"/>
    <m/>
    <n v="1969"/>
    <s v="F"/>
    <m/>
    <n v="0"/>
    <m/>
    <m/>
    <m/>
    <n v="0"/>
    <m/>
    <m/>
    <m/>
    <n v="5116"/>
    <s v="5116GE"/>
    <s v="ASO Sillery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082468"/>
    <n v="38550"/>
    <m/>
    <s v="ROGUIEZ"/>
    <s v="Timéo"/>
    <m/>
    <n v="2008"/>
    <s v="M"/>
    <m/>
    <n v="0"/>
    <m/>
    <m/>
    <m/>
    <n v="0"/>
    <m/>
    <m/>
    <m/>
    <n v="7716"/>
    <s v="7716IF"/>
    <s v="BALISE 77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1001914"/>
    <m/>
    <m/>
    <s v="ROUSEREZ"/>
    <s v="Annick"/>
    <m/>
    <n v="1962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8217709"/>
    <m/>
    <m/>
    <s v="ROWE"/>
    <s v="Fionnuala"/>
    <m/>
    <n v="2009"/>
    <s v="F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1570327"/>
    <n v="39755"/>
    <m/>
    <s v="SAILLARD"/>
    <s v="Charlotte"/>
    <m/>
    <n v="1994"/>
    <s v="F"/>
    <m/>
    <n v="0"/>
    <m/>
    <m/>
    <m/>
    <n v="0"/>
    <m/>
    <m/>
    <m/>
    <n v="6106"/>
    <s v="6106NM"/>
    <s v="CO'ORNE ALENCON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346755"/>
    <n v="20409"/>
    <m/>
    <s v="SCHELCHER"/>
    <s v="Ginette"/>
    <m/>
    <n v="1961"/>
    <s v="F"/>
    <m/>
    <n v="0"/>
    <m/>
    <m/>
    <m/>
    <n v="0"/>
    <m/>
    <m/>
    <m/>
    <n v="6806"/>
    <s v="6806GE"/>
    <s v="COBuhl.Florival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95510"/>
    <n v="45653"/>
    <m/>
    <s v="STEPANOVA"/>
    <s v="Elena"/>
    <m/>
    <n v="1983"/>
    <s v="F"/>
    <m/>
    <n v="0"/>
    <m/>
    <m/>
    <m/>
    <n v="0"/>
    <m/>
    <m/>
    <m/>
    <n v="9211"/>
    <s v="9211IF"/>
    <s v="DSA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131400"/>
    <n v="30539"/>
    <m/>
    <s v="THENOZ"/>
    <s v="Perrine"/>
    <m/>
    <n v="1973"/>
    <s v="F"/>
    <m/>
    <n v="0"/>
    <m/>
    <m/>
    <m/>
    <n v="0"/>
    <m/>
    <m/>
    <m/>
    <n v="7807"/>
    <s v="7807IF"/>
    <s v="GO78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213309"/>
    <n v="44404"/>
    <m/>
    <s v="THEVENON"/>
    <s v="Lydie"/>
    <m/>
    <n v="1964"/>
    <s v="F"/>
    <m/>
    <n v="0"/>
    <m/>
    <m/>
    <m/>
    <n v="0"/>
    <m/>
    <m/>
    <m/>
    <n v="7707"/>
    <s v="7707IF"/>
    <s v="OPA MONTIGNY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8624418"/>
    <n v="15917"/>
    <n v="0"/>
    <s v="TIRBOIS"/>
    <s v="Madeleine"/>
    <m/>
    <n v="1980"/>
    <s v="F"/>
    <m/>
    <n v="0"/>
    <m/>
    <m/>
    <m/>
    <n v="0"/>
    <m/>
    <m/>
    <m/>
    <n v="7719"/>
    <s v="7719IF"/>
    <s v="ERCO"/>
    <s v="Fra"/>
    <m/>
    <m/>
    <n v="203"/>
    <x v="3"/>
    <s v="D"/>
    <n v="203"/>
    <s v="D"/>
    <s v="D"/>
    <m/>
    <m/>
    <m/>
    <m/>
    <m/>
    <m/>
    <s v="Compétition"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1603769"/>
    <n v="22385"/>
    <m/>
    <s v="TOMASSI"/>
    <s v="Jean Marc"/>
    <m/>
    <n v="1964"/>
    <s v="M"/>
    <m/>
    <n v="0"/>
    <m/>
    <m/>
    <m/>
    <n v="0"/>
    <m/>
    <m/>
    <m/>
    <n v="7512"/>
    <s v="7512IF"/>
    <s v="RO'Paris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109545"/>
    <n v="37050"/>
    <m/>
    <s v="TONDU"/>
    <s v="Alexandra"/>
    <m/>
    <n v="1973"/>
    <s v="F"/>
    <m/>
    <n v="0"/>
    <m/>
    <m/>
    <m/>
    <n v="0"/>
    <m/>
    <m/>
    <m/>
    <n v="7716"/>
    <s v="7716IF"/>
    <s v="BALISE 77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046911"/>
    <n v="36108"/>
    <m/>
    <s v="VASILOI"/>
    <s v="Nadejda"/>
    <m/>
    <n v="1977"/>
    <s v="F"/>
    <m/>
    <n v="0"/>
    <m/>
    <m/>
    <m/>
    <n v="0"/>
    <m/>
    <m/>
    <m/>
    <n v="7707"/>
    <s v="7707IF"/>
    <s v="OPA MONTIGNY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7211909"/>
    <m/>
    <m/>
    <s v="WILLEMS"/>
    <s v="Pierre"/>
    <m/>
    <n v="1956"/>
    <s v="M"/>
    <m/>
    <n v="0"/>
    <m/>
    <m/>
    <m/>
    <n v="0"/>
    <m/>
    <m/>
    <m/>
    <n v="90002"/>
    <s v="Pass_C"/>
    <s v="Pass Competition"/>
    <m/>
    <m/>
    <m/>
    <n v="203"/>
    <x v="3"/>
    <s v="D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4"/>
    <s v="D 5.7 VC"/>
    <n v="5.8"/>
    <m/>
    <n v="21"/>
  </r>
  <r>
    <m/>
    <m/>
    <m/>
    <m/>
    <n v="2150416"/>
    <n v="40155"/>
    <m/>
    <s v="ZHANG"/>
    <s v="Felix"/>
    <m/>
    <n v="2008"/>
    <s v="M"/>
    <m/>
    <n v="0"/>
    <m/>
    <m/>
    <m/>
    <n v="0"/>
    <m/>
    <m/>
    <m/>
    <n v="7716"/>
    <s v="7716IF"/>
    <s v="BALISE 77"/>
    <s v="FR"/>
    <m/>
    <m/>
    <n v="203"/>
    <x v="3"/>
    <s v="D"/>
    <n v="203"/>
    <s v="D"/>
    <s v="D"/>
    <m/>
    <m/>
    <m/>
    <m/>
    <m/>
    <m/>
    <m/>
    <m/>
    <m/>
    <n v="0"/>
    <n v="0"/>
    <m/>
    <n v="0"/>
    <n v="0"/>
    <m/>
    <m/>
    <m/>
    <n v="0"/>
    <n v="0"/>
    <n v="0"/>
    <n v="0"/>
    <m/>
    <m/>
    <n v="9004"/>
    <s v="D 5.7 VC"/>
    <n v="5.8"/>
    <m/>
    <n v="21"/>
  </r>
  <r>
    <m/>
    <m/>
    <m/>
    <m/>
    <n v="2303881"/>
    <n v="41561"/>
    <m/>
    <s v="BARBAZANGES"/>
    <s v="Marion"/>
    <m/>
    <n v="1981"/>
    <s v="F"/>
    <m/>
    <n v="0"/>
    <m/>
    <m/>
    <m/>
    <n v="0"/>
    <m/>
    <m/>
    <m/>
    <n v="7512"/>
    <s v="7512IF"/>
    <s v="RO'Paris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2011017"/>
    <n v="43655"/>
    <m/>
    <s v="BEDUNEAU"/>
    <s v="Alexis"/>
    <m/>
    <n v="2007"/>
    <s v="M"/>
    <m/>
    <n v="0"/>
    <m/>
    <m/>
    <m/>
    <n v="0"/>
    <m/>
    <m/>
    <m/>
    <n v="7205"/>
    <s v="7205PL"/>
    <s v="LMA 72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2230073"/>
    <n v="44364"/>
    <m/>
    <s v="BELLECOURT"/>
    <s v="Sébastien"/>
    <m/>
    <n v="1978"/>
    <s v="M"/>
    <m/>
    <n v="0"/>
    <m/>
    <m/>
    <m/>
    <n v="0"/>
    <m/>
    <m/>
    <m/>
    <n v="7716"/>
    <s v="7716IF"/>
    <s v="BALISE 77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8500492"/>
    <n v="42599"/>
    <m/>
    <s v="BOURGOIN"/>
    <s v="Quentin"/>
    <m/>
    <n v="2008"/>
    <s v="M"/>
    <m/>
    <n v="0"/>
    <m/>
    <m/>
    <m/>
    <n v="0"/>
    <m/>
    <m/>
    <m/>
    <n v="8903"/>
    <s v="8903BF"/>
    <s v="YCONE-Sens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256554"/>
    <m/>
    <m/>
    <s v="BOUZAT"/>
    <s v="Justine"/>
    <m/>
    <n v="1995"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n v="0"/>
    <n v="0"/>
    <n v="0"/>
    <m/>
    <m/>
    <n v="9005"/>
    <s v="E 4.7 O"/>
    <n v="4.7"/>
    <m/>
    <n v="21"/>
  </r>
  <r>
    <m/>
    <m/>
    <m/>
    <m/>
    <m/>
    <m/>
    <m/>
    <s v="BRANTAGHEM"/>
    <s v="Antonin"/>
    <m/>
    <n v="1990"/>
    <s v="M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n v="9520423"/>
    <n v="8761"/>
    <m/>
    <s v="BRUNEL"/>
    <s v="Marie-Jo"/>
    <m/>
    <n v="1952"/>
    <s v="F"/>
    <m/>
    <n v="0"/>
    <m/>
    <m/>
    <m/>
    <n v="0"/>
    <m/>
    <m/>
    <m/>
    <n v="8903"/>
    <s v="8903BF"/>
    <s v="YCONE-Sens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8099006"/>
    <n v="22314"/>
    <m/>
    <s v="CHARDOT"/>
    <s v="Ulrike"/>
    <m/>
    <n v="1964"/>
    <s v="F"/>
    <m/>
    <n v="0"/>
    <m/>
    <m/>
    <m/>
    <n v="0"/>
    <m/>
    <m/>
    <m/>
    <n v="7807"/>
    <s v="7807IF"/>
    <s v="GO78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CREMIERE"/>
    <s v="Emilie"/>
    <m/>
    <m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n v="0"/>
    <n v="0"/>
    <n v="0"/>
    <m/>
    <m/>
    <n v="9005"/>
    <s v="E 4.7 O"/>
    <n v="4.7"/>
    <m/>
    <n v="21"/>
  </r>
  <r>
    <m/>
    <m/>
    <m/>
    <m/>
    <n v="1677073"/>
    <n v="12758"/>
    <m/>
    <s v="DASILVA"/>
    <s v="Auriane"/>
    <m/>
    <n v="1997"/>
    <s v="F"/>
    <m/>
    <n v="0"/>
    <m/>
    <m/>
    <m/>
    <n v="0"/>
    <m/>
    <m/>
    <m/>
    <n v="7707"/>
    <s v="7707IF"/>
    <s v="OPA MONTIGNY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1770766"/>
    <n v="878"/>
    <m/>
    <s v="DASILVA"/>
    <s v="Irene"/>
    <m/>
    <n v="1966"/>
    <s v="F"/>
    <m/>
    <n v="0"/>
    <m/>
    <m/>
    <m/>
    <n v="0"/>
    <m/>
    <m/>
    <m/>
    <n v="7707"/>
    <s v="7707IF"/>
    <s v="OPA MONTIGNY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DOUZENEL"/>
    <s v="Gil"/>
    <m/>
    <n v="1962"/>
    <s v="M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n v="1396459"/>
    <n v="14002"/>
    <m/>
    <s v="DUBOIS"/>
    <s v="Sylvie"/>
    <m/>
    <n v="1957"/>
    <s v="F"/>
    <m/>
    <n v="0"/>
    <m/>
    <m/>
    <m/>
    <n v="0"/>
    <m/>
    <m/>
    <m/>
    <n v="7709"/>
    <s v="7709IF"/>
    <s v="USM/CO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1960000"/>
    <n v="20383"/>
    <m/>
    <s v="DUTERAGE"/>
    <s v="Catherine"/>
    <m/>
    <n v="1960"/>
    <s v="F"/>
    <m/>
    <n v="0"/>
    <m/>
    <m/>
    <m/>
    <n v="0"/>
    <m/>
    <m/>
    <m/>
    <n v="7807"/>
    <s v="7807IF"/>
    <s v="GO78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1115421"/>
    <n v="19686"/>
    <m/>
    <s v="GARIN"/>
    <s v="Gilles"/>
    <m/>
    <n v="1963"/>
    <s v="M"/>
    <m/>
    <n v="0"/>
    <m/>
    <m/>
    <m/>
    <n v="0"/>
    <m/>
    <m/>
    <m/>
    <n v="9105"/>
    <s v="9105IF"/>
    <s v="COLE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2158068"/>
    <n v="41990"/>
    <m/>
    <s v="GASPAR"/>
    <s v="Isabelle"/>
    <m/>
    <n v="1976"/>
    <s v="F"/>
    <m/>
    <n v="0"/>
    <m/>
    <m/>
    <m/>
    <n v="0"/>
    <m/>
    <m/>
    <m/>
    <n v="9105"/>
    <s v="9105IF"/>
    <s v="COLE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1040833"/>
    <n v="43843"/>
    <m/>
    <s v="GONSARD"/>
    <s v="Marc"/>
    <m/>
    <n v="2009"/>
    <s v="M"/>
    <m/>
    <n v="0"/>
    <m/>
    <m/>
    <m/>
    <n v="0"/>
    <m/>
    <m/>
    <m/>
    <n v="9105"/>
    <s v="9105IF"/>
    <s v="COLE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7969200"/>
    <n v="1752"/>
    <m/>
    <s v="GRANSART"/>
    <s v="Renaud"/>
    <m/>
    <n v="1961"/>
    <s v="M"/>
    <m/>
    <n v="0"/>
    <m/>
    <m/>
    <m/>
    <n v="0"/>
    <m/>
    <m/>
    <m/>
    <n v="2699"/>
    <s v="2699AR"/>
    <s v="INDIVIDUEL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8001996"/>
    <n v="15018"/>
    <m/>
    <s v="GUINOT"/>
    <s v="Marion"/>
    <m/>
    <n v="1996"/>
    <s v="F"/>
    <m/>
    <n v="0"/>
    <m/>
    <m/>
    <m/>
    <n v="0"/>
    <m/>
    <m/>
    <m/>
    <n v="2108"/>
    <s v="2108BF"/>
    <s v="Talant SO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1590819"/>
    <n v="43555"/>
    <m/>
    <s v="HAEYAERT"/>
    <s v="Jorys"/>
    <m/>
    <n v="2006"/>
    <s v="M"/>
    <m/>
    <n v="0"/>
    <m/>
    <m/>
    <m/>
    <n v="0"/>
    <m/>
    <m/>
    <m/>
    <n v="5907"/>
    <s v="5907HF"/>
    <s v="T.A.D.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34703"/>
    <n v="1984"/>
    <m/>
    <s v="HALLAY"/>
    <s v="Jean-Pierre"/>
    <m/>
    <n v="1954"/>
    <s v="M"/>
    <m/>
    <n v="0"/>
    <m/>
    <m/>
    <m/>
    <n v="0"/>
    <m/>
    <m/>
    <m/>
    <n v="7709"/>
    <s v="7709IF"/>
    <s v="USM/CO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680310"/>
    <n v="37646"/>
    <m/>
    <s v="HEULLE"/>
    <s v="Coline"/>
    <m/>
    <n v="1998"/>
    <s v="F"/>
    <m/>
    <n v="0"/>
    <m/>
    <m/>
    <m/>
    <n v="0"/>
    <m/>
    <m/>
    <m/>
    <n v="6803"/>
    <s v="6803GE"/>
    <s v="COMulhouse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KHICH"/>
    <s v="Laurie"/>
    <m/>
    <n v="1991"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n v="2150975"/>
    <n v="41367"/>
    <m/>
    <s v="LE GUERN"/>
    <s v="Raphael"/>
    <m/>
    <n v="2010"/>
    <s v="M"/>
    <m/>
    <n v="0"/>
    <m/>
    <m/>
    <m/>
    <n v="0"/>
    <m/>
    <m/>
    <m/>
    <n v="7716"/>
    <s v="7716IF"/>
    <s v="BALISE 77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8890303"/>
    <n v="12192"/>
    <m/>
    <s v="LOUAT"/>
    <s v="Aime"/>
    <m/>
    <n v="1950"/>
    <s v="M"/>
    <m/>
    <n v="0"/>
    <m/>
    <m/>
    <m/>
    <n v="0"/>
    <m/>
    <m/>
    <m/>
    <n v="8903"/>
    <s v="8903BF"/>
    <s v="YCONE-Sens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2144318"/>
    <n v="36704"/>
    <m/>
    <s v="LUCAS-VIOU"/>
    <s v="Charlotte"/>
    <m/>
    <n v="2009"/>
    <s v="F"/>
    <m/>
    <n v="0"/>
    <m/>
    <m/>
    <m/>
    <n v="0"/>
    <m/>
    <m/>
    <m/>
    <n v="7716"/>
    <s v="7716IF"/>
    <s v="BALISE 77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8217767"/>
    <m/>
    <m/>
    <s v="MASTERSON"/>
    <s v="Aoife"/>
    <m/>
    <n v="2010"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n v="0"/>
    <n v="0"/>
    <n v="0"/>
    <m/>
    <m/>
    <n v="9005"/>
    <s v="E 4.7 O"/>
    <n v="4.7"/>
    <m/>
    <n v="21"/>
  </r>
  <r>
    <m/>
    <m/>
    <m/>
    <m/>
    <n v="1506004"/>
    <n v="16687"/>
    <m/>
    <s v="MERIGUET"/>
    <s v="Valérie-Louise"/>
    <m/>
    <n v="1968"/>
    <s v="F"/>
    <m/>
    <n v="0"/>
    <m/>
    <m/>
    <m/>
    <n v="0"/>
    <m/>
    <m/>
    <m/>
    <n v="7807"/>
    <s v="7807IF"/>
    <s v="GO78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MICHEL"/>
    <s v="Sebastien"/>
    <m/>
    <n v="1978"/>
    <s v="M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n v="1000979"/>
    <n v="3990"/>
    <m/>
    <s v="MOLINIER"/>
    <s v="Frederique"/>
    <m/>
    <n v="1960"/>
    <s v="F"/>
    <m/>
    <n v="0"/>
    <m/>
    <m/>
    <m/>
    <n v="0"/>
    <m/>
    <m/>
    <m/>
    <n v="7716"/>
    <s v="7716IF"/>
    <s v="BALISE 77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1080289"/>
    <n v="1367"/>
    <m/>
    <s v="MOLINIER"/>
    <s v="Jean-Luc"/>
    <m/>
    <n v="1957"/>
    <s v="M"/>
    <m/>
    <n v="0"/>
    <m/>
    <m/>
    <m/>
    <n v="0"/>
    <m/>
    <m/>
    <m/>
    <n v="7716"/>
    <s v="7716IF"/>
    <s v="BALISE 77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2150417"/>
    <n v="40599"/>
    <m/>
    <s v="MONTACIE"/>
    <s v="Victor"/>
    <m/>
    <n v="2010"/>
    <s v="M"/>
    <m/>
    <n v="0"/>
    <m/>
    <m/>
    <m/>
    <n v="0"/>
    <m/>
    <m/>
    <m/>
    <n v="7716"/>
    <s v="7716IF"/>
    <s v="BALISE 77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MORAN"/>
    <s v="Antoine"/>
    <m/>
    <m/>
    <s v="M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n v="0"/>
    <n v="0"/>
    <n v="0"/>
    <m/>
    <m/>
    <n v="9005"/>
    <s v="E 4.7 O"/>
    <n v="4.7"/>
    <m/>
    <n v="21"/>
  </r>
  <r>
    <m/>
    <m/>
    <m/>
    <m/>
    <n v="2311188"/>
    <n v="36735"/>
    <m/>
    <s v="NONDEDEO"/>
    <s v="Baptiste"/>
    <m/>
    <n v="2009"/>
    <s v="M"/>
    <m/>
    <n v="0"/>
    <m/>
    <m/>
    <m/>
    <n v="0"/>
    <m/>
    <m/>
    <m/>
    <n v="7716"/>
    <s v="7716IF"/>
    <s v="BALISE 77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PAVOINE"/>
    <s v="Alexandre"/>
    <m/>
    <n v="1976"/>
    <s v="M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m/>
    <m/>
    <m/>
    <s v="PAVOINE"/>
    <s v="Morgane"/>
    <m/>
    <n v="1979"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n v="2042736"/>
    <n v="26201"/>
    <m/>
    <s v="PERDRIAT"/>
    <s v="Delphine"/>
    <m/>
    <n v="1977"/>
    <s v="F"/>
    <m/>
    <n v="0"/>
    <m/>
    <m/>
    <m/>
    <n v="0"/>
    <m/>
    <m/>
    <m/>
    <n v="8904"/>
    <s v="8904BF"/>
    <s v="CARTO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2082469"/>
    <n v="36264"/>
    <m/>
    <s v="PESON"/>
    <s v="Charles"/>
    <m/>
    <n v="1991"/>
    <s v="M"/>
    <m/>
    <n v="0"/>
    <m/>
    <m/>
    <m/>
    <n v="0"/>
    <m/>
    <m/>
    <m/>
    <n v="7707"/>
    <s v="7707IF"/>
    <s v="OPA MONTIGNY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7005123"/>
    <m/>
    <m/>
    <s v="REGNIER"/>
    <s v="Corinne"/>
    <m/>
    <n v="1963"/>
    <s v="F"/>
    <m/>
    <n v="0"/>
    <m/>
    <m/>
    <m/>
    <n v="0"/>
    <m/>
    <m/>
    <m/>
    <n v="5803"/>
    <s v="5803BF"/>
    <s v="NORD"/>
    <s v="FR"/>
    <m/>
    <m/>
    <n v="204"/>
    <x v="4"/>
    <s v="E"/>
    <n v="203"/>
    <s v="D"/>
    <s v="D"/>
    <m/>
    <m/>
    <m/>
    <m/>
    <m/>
    <m/>
    <m/>
    <m/>
    <m/>
    <m/>
    <m/>
    <m/>
    <m/>
    <m/>
    <m/>
    <m/>
    <m/>
    <m/>
    <n v="0"/>
    <n v="0"/>
    <n v="0"/>
    <m/>
    <m/>
    <n v="9005"/>
    <s v="E 4.7 O"/>
    <n v="4.7"/>
    <m/>
    <n v="21"/>
  </r>
  <r>
    <m/>
    <m/>
    <m/>
    <m/>
    <n v="1090572"/>
    <n v="31824"/>
    <m/>
    <s v="RICHARD"/>
    <s v="Morgane"/>
    <m/>
    <n v="2000"/>
    <s v="F"/>
    <m/>
    <n v="0"/>
    <m/>
    <m/>
    <m/>
    <n v="0"/>
    <m/>
    <m/>
    <m/>
    <n v="7205"/>
    <s v="7205PL"/>
    <s v="LMA 72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RIGOLLIER"/>
    <s v="Maud"/>
    <m/>
    <n v="1993"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n v="8102008"/>
    <n v="31678"/>
    <m/>
    <s v="ROUX"/>
    <s v="Louisiane"/>
    <m/>
    <n v="2008"/>
    <s v="F"/>
    <m/>
    <n v="0"/>
    <m/>
    <m/>
    <m/>
    <n v="0"/>
    <m/>
    <m/>
    <m/>
    <n v="7807"/>
    <s v="7807IF"/>
    <s v="GO78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SCULO"/>
    <s v="Romaon"/>
    <m/>
    <m/>
    <s v="M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n v="0"/>
    <n v="0"/>
    <n v="0"/>
    <m/>
    <m/>
    <n v="9005"/>
    <s v="E 4.7 O"/>
    <n v="4.7"/>
    <m/>
    <n v="21"/>
  </r>
  <r>
    <m/>
    <m/>
    <m/>
    <m/>
    <m/>
    <m/>
    <m/>
    <s v="SCULO"/>
    <s v="Sandra"/>
    <m/>
    <n v="2006"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n v="1040845"/>
    <m/>
    <m/>
    <s v="SEYLL"/>
    <s v="Perrine"/>
    <m/>
    <n v="1992"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n v="0"/>
    <n v="0"/>
    <n v="0"/>
    <m/>
    <m/>
    <n v="9005"/>
    <s v="E 4.7 O"/>
    <n v="4.7"/>
    <m/>
    <n v="21"/>
  </r>
  <r>
    <m/>
    <m/>
    <m/>
    <m/>
    <n v="1779010"/>
    <n v="933"/>
    <m/>
    <s v="SOL"/>
    <s v="Michel"/>
    <m/>
    <n v="1948"/>
    <s v="M"/>
    <m/>
    <n v="0"/>
    <m/>
    <m/>
    <m/>
    <n v="0"/>
    <m/>
    <m/>
    <m/>
    <n v="7707"/>
    <s v="7707IF"/>
    <s v="OPA MONTIGNY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n v="1502044"/>
    <n v="43383"/>
    <m/>
    <s v="TEMPIER"/>
    <s v="Eugénie"/>
    <m/>
    <n v="2007"/>
    <s v="F"/>
    <m/>
    <n v="0"/>
    <m/>
    <m/>
    <m/>
    <n v="0"/>
    <m/>
    <m/>
    <m/>
    <n v="9105"/>
    <s v="9105IF"/>
    <s v="COLE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n v="46180"/>
    <m/>
    <s v="TEMPIER"/>
    <s v="Frédérick"/>
    <m/>
    <n v="1977"/>
    <s v="M"/>
    <m/>
    <n v="0"/>
    <m/>
    <m/>
    <m/>
    <n v="0"/>
    <m/>
    <m/>
    <m/>
    <n v="9109"/>
    <s v="9109IF"/>
    <s v="COPS 91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s v="X"/>
    <n v="0"/>
    <n v="0"/>
    <m/>
    <m/>
    <n v="9005"/>
    <s v="E 4.7 O"/>
    <n v="4.7"/>
    <m/>
    <n v="21"/>
  </r>
  <r>
    <m/>
    <m/>
    <m/>
    <m/>
    <n v="1001990"/>
    <n v="33245"/>
    <m/>
    <s v="THENOZ"/>
    <s v="Arnaud"/>
    <m/>
    <n v="2010"/>
    <s v="M"/>
    <m/>
    <n v="0"/>
    <m/>
    <m/>
    <m/>
    <n v="0"/>
    <m/>
    <m/>
    <m/>
    <n v="7807"/>
    <s v="7807IF"/>
    <s v="GO78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n v="0"/>
    <n v="0"/>
    <n v="0"/>
    <m/>
    <m/>
    <n v="9005"/>
    <s v="E 4.7 O"/>
    <n v="4.7"/>
    <m/>
    <n v="21"/>
  </r>
  <r>
    <m/>
    <m/>
    <m/>
    <m/>
    <m/>
    <m/>
    <m/>
    <s v="TRIPODI"/>
    <s v="Corinne"/>
    <m/>
    <n v="1968"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s v="X"/>
    <n v="0"/>
    <n v="0"/>
    <m/>
    <m/>
    <n v="9005"/>
    <s v="E 4.7 O"/>
    <n v="4.7"/>
    <m/>
    <n v="21"/>
  </r>
  <r>
    <m/>
    <m/>
    <m/>
    <m/>
    <m/>
    <n v="43732"/>
    <m/>
    <s v="TROUILLER"/>
    <s v="Apolline"/>
    <m/>
    <n v="2006"/>
    <s v="F"/>
    <m/>
    <n v="0"/>
    <m/>
    <m/>
    <m/>
    <n v="0"/>
    <m/>
    <m/>
    <m/>
    <n v="7707"/>
    <s v="7707IF"/>
    <s v="OPA MONTIGNY"/>
    <s v="FR"/>
    <m/>
    <m/>
    <n v="204"/>
    <x v="4"/>
    <s v="E"/>
    <n v="204"/>
    <s v="E"/>
    <s v="E"/>
    <m/>
    <m/>
    <m/>
    <m/>
    <m/>
    <m/>
    <m/>
    <m/>
    <m/>
    <n v="0"/>
    <n v="0"/>
    <m/>
    <n v="0"/>
    <n v="0"/>
    <m/>
    <m/>
    <m/>
    <n v="0"/>
    <s v="X"/>
    <n v="0"/>
    <n v="0"/>
    <m/>
    <m/>
    <n v="9005"/>
    <s v="E 4.7 O"/>
    <n v="4.7"/>
    <m/>
    <n v="21"/>
  </r>
  <r>
    <m/>
    <m/>
    <m/>
    <m/>
    <m/>
    <m/>
    <m/>
    <s v="VETTIER"/>
    <s v="Marie"/>
    <m/>
    <m/>
    <s v="F"/>
    <m/>
    <n v="0"/>
    <m/>
    <m/>
    <m/>
    <n v="0"/>
    <m/>
    <m/>
    <m/>
    <n v="90002"/>
    <s v="Pass_C"/>
    <s v="Pass Competition"/>
    <m/>
    <m/>
    <m/>
    <n v="204"/>
    <x v="4"/>
    <s v="E"/>
    <n v="204"/>
    <s v="E"/>
    <s v="E"/>
    <m/>
    <m/>
    <m/>
    <m/>
    <m/>
    <m/>
    <m/>
    <m/>
    <m/>
    <m/>
    <m/>
    <m/>
    <m/>
    <m/>
    <m/>
    <m/>
    <m/>
    <m/>
    <n v="0"/>
    <n v="0"/>
    <n v="0"/>
    <m/>
    <m/>
    <n v="9005"/>
    <s v="E 4.7 O"/>
    <n v="4.7"/>
    <m/>
    <n v="21"/>
  </r>
  <r>
    <m/>
    <m/>
    <m/>
    <m/>
    <n v="2311181"/>
    <n v="39890"/>
    <m/>
    <s v="BELLECOURT"/>
    <s v="Loic"/>
    <m/>
    <n v="2009"/>
    <s v="M"/>
    <m/>
    <n v="0"/>
    <m/>
    <m/>
    <m/>
    <n v="0"/>
    <m/>
    <m/>
    <m/>
    <n v="7716"/>
    <s v="7716IF"/>
    <s v="BALISE 77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m/>
    <n v="841014"/>
    <m/>
    <s v="BILLOT"/>
    <s v="Isabelle"/>
    <m/>
    <n v="1965"/>
    <s v="F"/>
    <m/>
    <n v="0"/>
    <m/>
    <m/>
    <m/>
    <n v="0"/>
    <m/>
    <m/>
    <m/>
    <n v="5803"/>
    <s v="5803BF"/>
    <s v="NORD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s v="X"/>
    <n v="0"/>
    <n v="0"/>
    <m/>
    <m/>
    <n v="9006"/>
    <s v="F 3.7 J"/>
    <n v="3.7"/>
    <m/>
    <n v="20"/>
  </r>
  <r>
    <m/>
    <m/>
    <m/>
    <m/>
    <m/>
    <m/>
    <m/>
    <s v="BOULET"/>
    <s v="Lola"/>
    <m/>
    <m/>
    <s v="F"/>
    <m/>
    <n v="0"/>
    <m/>
    <m/>
    <m/>
    <n v="0"/>
    <m/>
    <m/>
    <m/>
    <n v="90004"/>
    <s v="Pass_L"/>
    <s v="Pass Loisir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n v="0"/>
    <n v="0"/>
    <n v="0"/>
    <m/>
    <m/>
    <n v="9006"/>
    <s v="F 3.7 J"/>
    <n v="3.7"/>
    <m/>
    <n v="20"/>
  </r>
  <r>
    <m/>
    <m/>
    <m/>
    <m/>
    <n v="1999071"/>
    <n v="41327"/>
    <m/>
    <s v="BRAULT"/>
    <s v="Gabriel"/>
    <m/>
    <n v="2012"/>
    <s v="M"/>
    <m/>
    <n v="0"/>
    <m/>
    <m/>
    <m/>
    <n v="0"/>
    <m/>
    <m/>
    <m/>
    <n v="9105"/>
    <s v="9105IF"/>
    <s v="COLE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228472"/>
    <n v="42896"/>
    <m/>
    <s v="CALLEN"/>
    <s v="Delphine"/>
    <m/>
    <n v="1980"/>
    <s v="F"/>
    <m/>
    <n v="0"/>
    <m/>
    <m/>
    <m/>
    <n v="0"/>
    <m/>
    <m/>
    <m/>
    <n v="9105"/>
    <s v="9105IF"/>
    <s v="COLE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8101190"/>
    <n v="38415"/>
    <m/>
    <s v="COP"/>
    <s v="Alexis"/>
    <m/>
    <n v="2009"/>
    <s v="M"/>
    <m/>
    <n v="0"/>
    <m/>
    <m/>
    <m/>
    <n v="0"/>
    <m/>
    <m/>
    <m/>
    <n v="9502"/>
    <s v="9502IF"/>
    <s v="ACBeauchamp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9997777"/>
    <n v="12377"/>
    <m/>
    <s v="DENIS"/>
    <s v="Martine"/>
    <m/>
    <n v="1946"/>
    <s v="F"/>
    <m/>
    <n v="0"/>
    <m/>
    <m/>
    <m/>
    <n v="0"/>
    <m/>
    <m/>
    <m/>
    <n v="9404"/>
    <s v="9404IF"/>
    <s v="AS IGN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m/>
    <n v="845155"/>
    <m/>
    <s v="DREANO"/>
    <s v="Bérénice"/>
    <m/>
    <n v="1997"/>
    <s v="F"/>
    <m/>
    <n v="0"/>
    <m/>
    <m/>
    <m/>
    <n v="0"/>
    <m/>
    <m/>
    <m/>
    <n v="6106"/>
    <s v="6106NM"/>
    <s v="CO'ORNE ALENCON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s v="X"/>
    <n v="0"/>
    <n v="0"/>
    <m/>
    <m/>
    <n v="9006"/>
    <s v="F 3.7 J"/>
    <n v="3.7"/>
    <m/>
    <n v="20"/>
  </r>
  <r>
    <m/>
    <m/>
    <m/>
    <m/>
    <n v="2442710"/>
    <n v="44659"/>
    <m/>
    <s v="FEURTET"/>
    <s v="Léo"/>
    <m/>
    <n v="2010"/>
    <s v="M"/>
    <m/>
    <n v="0"/>
    <m/>
    <m/>
    <m/>
    <n v="0"/>
    <m/>
    <m/>
    <m/>
    <n v="2108"/>
    <s v="2108BF"/>
    <s v="Talant SO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2230066"/>
    <n v="41393"/>
    <m/>
    <s v="GANIOT"/>
    <s v="Jethro"/>
    <m/>
    <n v="2010"/>
    <s v="M"/>
    <m/>
    <n v="0"/>
    <m/>
    <m/>
    <m/>
    <n v="0"/>
    <m/>
    <m/>
    <m/>
    <n v="7716"/>
    <s v="7716IF"/>
    <s v="BALISE 77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239684"/>
    <n v="40116"/>
    <m/>
    <s v="GILBERT"/>
    <s v="Gabriel"/>
    <m/>
    <n v="2013"/>
    <s v="M"/>
    <m/>
    <n v="0"/>
    <m/>
    <m/>
    <m/>
    <n v="0"/>
    <m/>
    <m/>
    <m/>
    <n v="7707"/>
    <s v="7707IF"/>
    <s v="OPA MONTIGN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7580221"/>
    <m/>
    <m/>
    <s v="GILLES"/>
    <s v="Chantal"/>
    <m/>
    <n v="1958"/>
    <s v="F"/>
    <m/>
    <n v="0"/>
    <m/>
    <m/>
    <m/>
    <n v="0"/>
    <m/>
    <m/>
    <m/>
    <n v="90003"/>
    <s v="Pass_DC"/>
    <s v="Pass Decouverte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n v="0"/>
    <n v="0"/>
    <n v="0"/>
    <m/>
    <m/>
    <n v="9006"/>
    <s v="F 3.7 J"/>
    <n v="3.7"/>
    <m/>
    <n v="20"/>
  </r>
  <r>
    <m/>
    <m/>
    <m/>
    <m/>
    <n v="1040846"/>
    <n v="43844"/>
    <m/>
    <s v="GONSARD"/>
    <s v="Solenn"/>
    <m/>
    <n v="2011"/>
    <s v="F"/>
    <m/>
    <n v="0"/>
    <m/>
    <m/>
    <m/>
    <n v="0"/>
    <m/>
    <m/>
    <m/>
    <n v="9105"/>
    <s v="9105IF"/>
    <s v="COLE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m/>
    <m/>
    <m/>
    <s v="GOULEY"/>
    <s v="Fabien"/>
    <m/>
    <n v="1982"/>
    <s v="M"/>
    <m/>
    <n v="0"/>
    <m/>
    <m/>
    <m/>
    <n v="0"/>
    <m/>
    <m/>
    <m/>
    <n v="90003"/>
    <s v="Pass_DC"/>
    <s v="Pass Decouverte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s v="X"/>
    <n v="0"/>
    <n v="0"/>
    <m/>
    <m/>
    <n v="9006"/>
    <s v="F 3.7 J"/>
    <n v="3.7"/>
    <m/>
    <n v="20"/>
  </r>
  <r>
    <m/>
    <m/>
    <m/>
    <m/>
    <m/>
    <m/>
    <m/>
    <s v="GOULEY"/>
    <s v="Mathis"/>
    <m/>
    <m/>
    <s v="M"/>
    <m/>
    <n v="0"/>
    <m/>
    <m/>
    <m/>
    <n v="0"/>
    <m/>
    <m/>
    <m/>
    <n v="90004"/>
    <s v="Pass_L"/>
    <s v="Pass Loisir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n v="0"/>
    <n v="0"/>
    <n v="0"/>
    <m/>
    <m/>
    <n v="9006"/>
    <s v="F 3.7 J"/>
    <n v="3.7"/>
    <m/>
    <n v="20"/>
  </r>
  <r>
    <m/>
    <m/>
    <m/>
    <m/>
    <n v="228360"/>
    <n v="1981"/>
    <m/>
    <s v="HALLAY"/>
    <s v="Claudine"/>
    <m/>
    <n v="1960"/>
    <s v="F"/>
    <m/>
    <n v="0"/>
    <m/>
    <m/>
    <m/>
    <n v="0"/>
    <m/>
    <m/>
    <m/>
    <n v="7709"/>
    <s v="7709IF"/>
    <s v="USM/CO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2015880"/>
    <n v="45489"/>
    <m/>
    <s v="HOULET-CASTERA"/>
    <s v="Tilio"/>
    <m/>
    <n v="2011"/>
    <s v="M"/>
    <m/>
    <n v="0"/>
    <m/>
    <m/>
    <m/>
    <n v="0"/>
    <m/>
    <m/>
    <m/>
    <n v="9105"/>
    <s v="9105IF"/>
    <s v="COLE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m/>
    <n v="845209"/>
    <m/>
    <s v="LAIGNEL"/>
    <s v="Agathe"/>
    <m/>
    <n v="1996"/>
    <s v="F"/>
    <m/>
    <n v="0"/>
    <m/>
    <m/>
    <m/>
    <n v="0"/>
    <m/>
    <m/>
    <m/>
    <n v="6106"/>
    <s v="6106NM"/>
    <s v="CO'ORNE ALENCON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s v="X"/>
    <n v="0"/>
    <n v="0"/>
    <m/>
    <m/>
    <n v="9006"/>
    <s v="F 3.7 J"/>
    <n v="3.7"/>
    <m/>
    <n v="20"/>
  </r>
  <r>
    <m/>
    <m/>
    <m/>
    <m/>
    <n v="228358"/>
    <n v="840871"/>
    <m/>
    <s v="LARCHER-PROVOST"/>
    <s v="Lisette"/>
    <m/>
    <n v="1959"/>
    <s v="F"/>
    <m/>
    <n v="0"/>
    <m/>
    <m/>
    <m/>
    <n v="0"/>
    <m/>
    <m/>
    <m/>
    <n v="7707"/>
    <s v="7707IF"/>
    <s v="OPA MONTIGN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m/>
    <m/>
    <m/>
    <s v="LAURENS-BERGE"/>
    <s v="Laurence"/>
    <m/>
    <n v="1967"/>
    <s v="F"/>
    <m/>
    <n v="0"/>
    <m/>
    <m/>
    <m/>
    <n v="0"/>
    <m/>
    <m/>
    <m/>
    <n v="90003"/>
    <s v="Pass_DC"/>
    <s v="Pass Decouverte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s v="X"/>
    <n v="0"/>
    <n v="0"/>
    <m/>
    <m/>
    <n v="9006"/>
    <s v="F 3.7 J"/>
    <n v="3.7"/>
    <m/>
    <n v="20"/>
  </r>
  <r>
    <m/>
    <m/>
    <m/>
    <m/>
    <m/>
    <n v="845090"/>
    <m/>
    <s v="LEBRU"/>
    <s v="Pauline"/>
    <m/>
    <n v="1990"/>
    <s v="F"/>
    <m/>
    <n v="0"/>
    <m/>
    <m/>
    <m/>
    <n v="0"/>
    <m/>
    <m/>
    <m/>
    <n v="6106"/>
    <s v="6106NM"/>
    <s v="CO'ORNE ALENCON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s v="X"/>
    <n v="0"/>
    <n v="0"/>
    <m/>
    <m/>
    <n v="9006"/>
    <s v="F 3.7 J"/>
    <n v="3.7"/>
    <m/>
    <n v="20"/>
  </r>
  <r>
    <m/>
    <m/>
    <m/>
    <m/>
    <m/>
    <n v="845210"/>
    <m/>
    <s v="LECAPLAIN"/>
    <s v="Eric"/>
    <m/>
    <n v="1992"/>
    <s v="M"/>
    <m/>
    <n v="0"/>
    <m/>
    <m/>
    <m/>
    <n v="0"/>
    <m/>
    <m/>
    <m/>
    <n v="6106"/>
    <s v="6106NM"/>
    <s v="CO'ORNE ALENCON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s v="X"/>
    <n v="0"/>
    <n v="0"/>
    <m/>
    <m/>
    <n v="9006"/>
    <s v="F 3.7 J"/>
    <n v="3.7"/>
    <m/>
    <n v="20"/>
  </r>
  <r>
    <m/>
    <m/>
    <m/>
    <m/>
    <n v="2213310"/>
    <n v="43602"/>
    <m/>
    <s v="LORY"/>
    <s v="Tiana"/>
    <m/>
    <n v="2011"/>
    <s v="F"/>
    <m/>
    <n v="0"/>
    <m/>
    <m/>
    <m/>
    <n v="0"/>
    <m/>
    <m/>
    <m/>
    <n v="7707"/>
    <s v="7707IF"/>
    <s v="OPA MONTIGN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m/>
    <n v="845100"/>
    <m/>
    <s v="MARTEL"/>
    <s v="Rose-Marie"/>
    <m/>
    <n v="1995"/>
    <s v="F"/>
    <m/>
    <n v="0"/>
    <m/>
    <m/>
    <m/>
    <n v="0"/>
    <m/>
    <m/>
    <m/>
    <n v="6106"/>
    <s v="6106NM"/>
    <s v="CO'ORNE ALENCON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s v="X"/>
    <n v="0"/>
    <n v="0"/>
    <m/>
    <m/>
    <n v="9006"/>
    <s v="F 3.7 J"/>
    <n v="3.7"/>
    <m/>
    <n v="20"/>
  </r>
  <r>
    <m/>
    <m/>
    <m/>
    <m/>
    <n v="771119"/>
    <n v="36126"/>
    <m/>
    <s v="MOULET"/>
    <s v="Nathalie"/>
    <m/>
    <n v="1967"/>
    <s v="F"/>
    <m/>
    <n v="0"/>
    <m/>
    <m/>
    <m/>
    <n v="0"/>
    <m/>
    <m/>
    <m/>
    <n v="2517"/>
    <s v="2517BF"/>
    <s v="OTB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m/>
    <m/>
    <m/>
    <s v="PAVOINE"/>
    <s v="Corentin"/>
    <m/>
    <n v="2008"/>
    <s v="M"/>
    <m/>
    <n v="0"/>
    <m/>
    <m/>
    <m/>
    <n v="0"/>
    <m/>
    <m/>
    <m/>
    <n v="90003"/>
    <s v="Pass_DC"/>
    <s v="Pass Decouverte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s v="X"/>
    <n v="0"/>
    <n v="0"/>
    <m/>
    <m/>
    <n v="9006"/>
    <s v="F 3.7 J"/>
    <n v="3.7"/>
    <m/>
    <n v="20"/>
  </r>
  <r>
    <m/>
    <m/>
    <m/>
    <m/>
    <m/>
    <m/>
    <m/>
    <s v="PAVOINE"/>
    <s v="Maxime"/>
    <m/>
    <n v="2010"/>
    <s v="M"/>
    <m/>
    <n v="0"/>
    <m/>
    <m/>
    <m/>
    <n v="0"/>
    <m/>
    <m/>
    <m/>
    <n v="90003"/>
    <s v="Pass_DC"/>
    <s v="Pass Decouverte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s v="X"/>
    <n v="0"/>
    <n v="0"/>
    <m/>
    <m/>
    <n v="9006"/>
    <s v="F 3.7 J"/>
    <n v="3.7"/>
    <m/>
    <n v="20"/>
  </r>
  <r>
    <m/>
    <m/>
    <m/>
    <m/>
    <n v="1780802"/>
    <n v="43158"/>
    <n v="0"/>
    <s v="PELLERIN"/>
    <s v="Stéphanie"/>
    <m/>
    <n v="1970"/>
    <s v="F"/>
    <m/>
    <n v="0"/>
    <m/>
    <m/>
    <m/>
    <n v="0"/>
    <m/>
    <m/>
    <m/>
    <n v="7807"/>
    <s v="7807IF"/>
    <s v="GO78"/>
    <s v="FR"/>
    <m/>
    <m/>
    <n v="205"/>
    <x v="5"/>
    <s v="F"/>
    <n v="205"/>
    <s v="F"/>
    <s v="F"/>
    <m/>
    <m/>
    <m/>
    <m/>
    <m/>
    <m/>
    <s v="Compétition"/>
    <m/>
    <m/>
    <m/>
    <m/>
    <m/>
    <m/>
    <m/>
    <m/>
    <m/>
    <m/>
    <m/>
    <n v="0"/>
    <n v="0"/>
    <n v="0"/>
    <m/>
    <m/>
    <n v="9006"/>
    <s v="F 3.7 J"/>
    <n v="3.7"/>
    <m/>
    <n v="20"/>
  </r>
  <r>
    <m/>
    <m/>
    <m/>
    <m/>
    <n v="8190157"/>
    <n v="36727"/>
    <m/>
    <s v="PERRIN"/>
    <s v="Garance"/>
    <m/>
    <n v="2011"/>
    <s v="F"/>
    <m/>
    <n v="0"/>
    <m/>
    <m/>
    <m/>
    <n v="0"/>
    <m/>
    <m/>
    <m/>
    <n v="2109"/>
    <s v="2109BF"/>
    <s v="A.S.Quetign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2213308"/>
    <n v="43379"/>
    <m/>
    <s v="PERSYN"/>
    <s v="Hélène"/>
    <m/>
    <n v="1979"/>
    <s v="F"/>
    <m/>
    <n v="0"/>
    <m/>
    <m/>
    <m/>
    <n v="0"/>
    <m/>
    <m/>
    <m/>
    <n v="7707"/>
    <s v="7707IF"/>
    <s v="OPA MONTIGN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1051110"/>
    <n v="33499"/>
    <m/>
    <s v="RICARD BORCHORST"/>
    <s v="Leander"/>
    <m/>
    <n v="2010"/>
    <s v="M"/>
    <m/>
    <n v="0"/>
    <m/>
    <m/>
    <m/>
    <n v="0"/>
    <m/>
    <m/>
    <m/>
    <n v="9502"/>
    <s v="9502IF"/>
    <s v="ACBeauchamp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8031999"/>
    <n v="37061"/>
    <m/>
    <s v="ROBINSON"/>
    <s v="Eléonore"/>
    <m/>
    <n v="1996"/>
    <s v="F"/>
    <m/>
    <n v="0"/>
    <m/>
    <m/>
    <m/>
    <n v="0"/>
    <m/>
    <m/>
    <m/>
    <n v="5116"/>
    <s v="5116GE"/>
    <s v="ASO Siller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2082461"/>
    <n v="43472"/>
    <m/>
    <s v="SERRIERE"/>
    <s v="Romain"/>
    <m/>
    <n v="2010"/>
    <s v="M"/>
    <m/>
    <n v="0"/>
    <m/>
    <m/>
    <m/>
    <n v="0"/>
    <m/>
    <m/>
    <m/>
    <n v="7707"/>
    <s v="7707IF"/>
    <s v="OPA MONTIGN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8001950"/>
    <n v="16129"/>
    <m/>
    <s v="THIEBAUT"/>
    <s v="Evelyne"/>
    <m/>
    <n v="1954"/>
    <s v="F"/>
    <m/>
    <n v="0"/>
    <m/>
    <m/>
    <m/>
    <n v="0"/>
    <m/>
    <m/>
    <m/>
    <n v="5402"/>
    <s v="5402GE"/>
    <s v="SCAPA NANC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8624419"/>
    <n v="29174"/>
    <n v="0"/>
    <s v="TIRBOIS"/>
    <s v="Tom"/>
    <m/>
    <n v="2011"/>
    <s v="M"/>
    <m/>
    <n v="0"/>
    <m/>
    <m/>
    <m/>
    <n v="0"/>
    <m/>
    <m/>
    <m/>
    <n v="7719"/>
    <s v="7719IF"/>
    <s v="ERCO"/>
    <s v="Fra"/>
    <m/>
    <m/>
    <n v="205"/>
    <x v="5"/>
    <s v="F"/>
    <n v="205"/>
    <s v="F"/>
    <s v="F"/>
    <m/>
    <m/>
    <m/>
    <m/>
    <m/>
    <m/>
    <s v="Compétition"/>
    <m/>
    <m/>
    <m/>
    <m/>
    <m/>
    <m/>
    <m/>
    <m/>
    <m/>
    <m/>
    <m/>
    <n v="0"/>
    <n v="0"/>
    <n v="0"/>
    <m/>
    <m/>
    <n v="9006"/>
    <s v="F 3.7 J"/>
    <n v="3.7"/>
    <m/>
    <n v="20"/>
  </r>
  <r>
    <m/>
    <m/>
    <m/>
    <m/>
    <m/>
    <n v="43728"/>
    <m/>
    <s v="TROUILLER"/>
    <s v="Christophe"/>
    <m/>
    <n v="1974"/>
    <s v="M"/>
    <m/>
    <n v="0"/>
    <m/>
    <m/>
    <m/>
    <n v="0"/>
    <m/>
    <m/>
    <m/>
    <n v="7707"/>
    <s v="7707IF"/>
    <s v="OPA MONTIGN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s v="X"/>
    <n v="0"/>
    <n v="0"/>
    <m/>
    <m/>
    <n v="9006"/>
    <s v="F 3.7 J"/>
    <n v="3.7"/>
    <m/>
    <n v="20"/>
  </r>
  <r>
    <m/>
    <m/>
    <m/>
    <m/>
    <m/>
    <m/>
    <m/>
    <s v="YANG"/>
    <s v="Cyntia"/>
    <m/>
    <n v="2010"/>
    <s v="F"/>
    <m/>
    <n v="0"/>
    <m/>
    <m/>
    <m/>
    <n v="0"/>
    <m/>
    <m/>
    <m/>
    <n v="90003"/>
    <s v="Pass_DC"/>
    <s v="Pass Decouverte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s v="X"/>
    <n v="0"/>
    <n v="0"/>
    <m/>
    <m/>
    <n v="9006"/>
    <s v="F 3.7 J"/>
    <n v="3.7"/>
    <m/>
    <n v="20"/>
  </r>
  <r>
    <m/>
    <m/>
    <m/>
    <m/>
    <n v="252493"/>
    <m/>
    <m/>
    <s v="ZAUGG"/>
    <s v="Gloria"/>
    <m/>
    <n v="1993"/>
    <s v="F"/>
    <m/>
    <n v="0"/>
    <m/>
    <m/>
    <m/>
    <n v="0"/>
    <m/>
    <m/>
    <m/>
    <n v="90003"/>
    <s v="Pass_DC"/>
    <s v="Pass Decouverte"/>
    <m/>
    <m/>
    <m/>
    <n v="205"/>
    <x v="5"/>
    <s v="F"/>
    <n v="205"/>
    <s v="F"/>
    <s v="F"/>
    <m/>
    <m/>
    <m/>
    <m/>
    <m/>
    <m/>
    <m/>
    <m/>
    <m/>
    <m/>
    <m/>
    <m/>
    <m/>
    <m/>
    <m/>
    <m/>
    <m/>
    <m/>
    <n v="0"/>
    <n v="0"/>
    <n v="0"/>
    <m/>
    <m/>
    <n v="9006"/>
    <s v="F 3.7 J"/>
    <n v="3.7"/>
    <m/>
    <n v="20"/>
  </r>
  <r>
    <m/>
    <m/>
    <m/>
    <m/>
    <n v="8080929"/>
    <n v="43330"/>
    <m/>
    <s v="ZYLA"/>
    <s v="Hugo"/>
    <m/>
    <n v="2009"/>
    <s v="M"/>
    <m/>
    <n v="0"/>
    <m/>
    <m/>
    <m/>
    <n v="0"/>
    <m/>
    <m/>
    <m/>
    <n v="7707"/>
    <s v="7707IF"/>
    <s v="OPA MONTIGNY"/>
    <s v="FR"/>
    <m/>
    <m/>
    <n v="205"/>
    <x v="5"/>
    <s v="F"/>
    <n v="205"/>
    <s v="F"/>
    <s v="F"/>
    <m/>
    <m/>
    <m/>
    <m/>
    <m/>
    <m/>
    <m/>
    <m/>
    <m/>
    <n v="0"/>
    <n v="0"/>
    <m/>
    <n v="0"/>
    <n v="0"/>
    <m/>
    <m/>
    <m/>
    <n v="0"/>
    <n v="0"/>
    <n v="0"/>
    <n v="0"/>
    <m/>
    <m/>
    <n v="9006"/>
    <s v="F 3.7 J"/>
    <n v="3.7"/>
    <m/>
    <n v="20"/>
  </r>
  <r>
    <m/>
    <m/>
    <m/>
    <m/>
    <n v="8112202"/>
    <n v="32842"/>
    <m/>
    <s v="BAILLET"/>
    <s v="Léna"/>
    <m/>
    <n v="2011"/>
    <s v="F"/>
    <m/>
    <n v="0"/>
    <m/>
    <m/>
    <m/>
    <n v="0"/>
    <m/>
    <m/>
    <m/>
    <n v="6013"/>
    <s v="6013HF"/>
    <s v="LABO2"/>
    <s v="FR"/>
    <m/>
    <m/>
    <n v="206"/>
    <x v="6"/>
    <s v="G"/>
    <n v="206"/>
    <s v="G"/>
    <s v="G"/>
    <m/>
    <m/>
    <m/>
    <m/>
    <m/>
    <m/>
    <m/>
    <m/>
    <m/>
    <n v="0"/>
    <n v="0"/>
    <m/>
    <n v="0"/>
    <n v="0"/>
    <m/>
    <m/>
    <m/>
    <n v="0"/>
    <n v="0"/>
    <n v="0"/>
    <n v="0"/>
    <m/>
    <m/>
    <n v="9007"/>
    <s v="G 2.7 Vert/Bleu"/>
    <n v="2.8"/>
    <m/>
    <n v="11"/>
  </r>
  <r>
    <m/>
    <m/>
    <m/>
    <m/>
    <n v="1999060"/>
    <n v="41016"/>
    <m/>
    <s v="COP"/>
    <s v="Ivan"/>
    <m/>
    <n v="2014"/>
    <s v="M"/>
    <m/>
    <n v="0"/>
    <m/>
    <m/>
    <m/>
    <n v="0"/>
    <m/>
    <m/>
    <m/>
    <n v="9502"/>
    <s v="9502IF"/>
    <s v="ACBeauchamp"/>
    <s v="FR"/>
    <m/>
    <m/>
    <n v="206"/>
    <x v="6"/>
    <s v="G"/>
    <n v="206"/>
    <s v="G"/>
    <s v="G"/>
    <m/>
    <m/>
    <m/>
    <m/>
    <m/>
    <m/>
    <m/>
    <m/>
    <m/>
    <n v="0"/>
    <n v="0"/>
    <m/>
    <n v="0"/>
    <n v="0"/>
    <m/>
    <m/>
    <m/>
    <n v="0"/>
    <n v="0"/>
    <n v="0"/>
    <n v="0"/>
    <m/>
    <m/>
    <n v="9007"/>
    <s v="G 2.7 Vert/Bleu"/>
    <n v="2.8"/>
    <m/>
    <n v="11"/>
  </r>
  <r>
    <m/>
    <m/>
    <m/>
    <m/>
    <n v="2158022"/>
    <n v="45961"/>
    <m/>
    <s v="COROLLO"/>
    <s v="Léa"/>
    <m/>
    <n v="2014"/>
    <s v="F"/>
    <m/>
    <n v="0"/>
    <m/>
    <m/>
    <m/>
    <n v="0"/>
    <m/>
    <m/>
    <m/>
    <n v="7716"/>
    <s v="7716IF"/>
    <s v="BALISE 77"/>
    <s v="FR"/>
    <m/>
    <m/>
    <n v="206"/>
    <x v="6"/>
    <s v="G"/>
    <n v="206"/>
    <s v="G"/>
    <s v="G"/>
    <m/>
    <m/>
    <m/>
    <m/>
    <m/>
    <m/>
    <m/>
    <m/>
    <m/>
    <n v="0"/>
    <n v="0"/>
    <m/>
    <n v="0"/>
    <n v="0"/>
    <m/>
    <m/>
    <m/>
    <n v="0"/>
    <n v="0"/>
    <n v="0"/>
    <n v="0"/>
    <m/>
    <m/>
    <n v="9007"/>
    <s v="G 2.7 Vert/Bleu"/>
    <n v="2.8"/>
    <m/>
    <n v="11"/>
  </r>
  <r>
    <m/>
    <m/>
    <m/>
    <m/>
    <n v="2158026"/>
    <n v="45543"/>
    <m/>
    <s v="GANNE ANGELI"/>
    <s v="Alma"/>
    <m/>
    <n v="2012"/>
    <s v="F"/>
    <m/>
    <n v="0"/>
    <m/>
    <m/>
    <m/>
    <n v="0"/>
    <m/>
    <m/>
    <m/>
    <n v="7716"/>
    <s v="7716IF"/>
    <s v="BALISE 77"/>
    <s v="FR"/>
    <m/>
    <m/>
    <n v="206"/>
    <x v="6"/>
    <s v="G"/>
    <n v="206"/>
    <s v="G"/>
    <s v="G"/>
    <m/>
    <m/>
    <m/>
    <m/>
    <m/>
    <m/>
    <m/>
    <m/>
    <m/>
    <n v="0"/>
    <n v="0"/>
    <m/>
    <n v="0"/>
    <n v="0"/>
    <m/>
    <m/>
    <m/>
    <n v="0"/>
    <n v="0"/>
    <n v="0"/>
    <n v="0"/>
    <m/>
    <m/>
    <n v="9007"/>
    <s v="G 2.7 Vert/Bleu"/>
    <n v="2.8"/>
    <m/>
    <n v="11"/>
  </r>
  <r>
    <m/>
    <m/>
    <m/>
    <m/>
    <m/>
    <m/>
    <m/>
    <s v="HANAFIN"/>
    <s v="Joan"/>
    <m/>
    <n v="1958"/>
    <s v="F"/>
    <m/>
    <n v="0"/>
    <m/>
    <m/>
    <m/>
    <n v="0"/>
    <m/>
    <m/>
    <m/>
    <n v="90003"/>
    <s v="Pass_DC"/>
    <s v="Pass Decouverte"/>
    <m/>
    <m/>
    <m/>
    <n v="206"/>
    <x v="6"/>
    <s v="G"/>
    <n v="206"/>
    <s v="G"/>
    <s v="G"/>
    <m/>
    <m/>
    <m/>
    <m/>
    <m/>
    <m/>
    <m/>
    <m/>
    <m/>
    <m/>
    <m/>
    <m/>
    <m/>
    <m/>
    <m/>
    <m/>
    <m/>
    <m/>
    <n v="0"/>
    <n v="0"/>
    <n v="0"/>
    <m/>
    <m/>
    <n v="9007"/>
    <s v="G 2.7 Vert/Bleu"/>
    <n v="2.8"/>
    <m/>
    <n v="11"/>
  </r>
  <r>
    <m/>
    <m/>
    <m/>
    <m/>
    <n v="2230071"/>
    <n v="41344"/>
    <m/>
    <s v="LUCAS VIOU"/>
    <s v="Jules"/>
    <m/>
    <n v="2012"/>
    <s v="M"/>
    <m/>
    <n v="0"/>
    <m/>
    <m/>
    <m/>
    <n v="0"/>
    <m/>
    <m/>
    <m/>
    <n v="7716"/>
    <s v="7716IF"/>
    <s v="BALISE 77"/>
    <s v="FR"/>
    <m/>
    <m/>
    <n v="206"/>
    <x v="6"/>
    <s v="G"/>
    <n v="206"/>
    <s v="G"/>
    <s v="G"/>
    <m/>
    <m/>
    <m/>
    <m/>
    <m/>
    <m/>
    <m/>
    <m/>
    <m/>
    <n v="0"/>
    <n v="0"/>
    <m/>
    <n v="0"/>
    <n v="0"/>
    <m/>
    <m/>
    <m/>
    <n v="0"/>
    <n v="0"/>
    <n v="0"/>
    <n v="0"/>
    <m/>
    <m/>
    <n v="9007"/>
    <s v="G 2.7 Vert/Bleu"/>
    <n v="2.8"/>
    <m/>
    <n v="11"/>
  </r>
  <r>
    <m/>
    <m/>
    <m/>
    <m/>
    <n v="425308"/>
    <n v="41705"/>
    <m/>
    <s v="MAURIES DENAT"/>
    <s v="Théo"/>
    <m/>
    <n v="2015"/>
    <s v="M"/>
    <m/>
    <n v="0"/>
    <m/>
    <m/>
    <m/>
    <n v="0"/>
    <m/>
    <m/>
    <m/>
    <n v="7807"/>
    <s v="7807IF"/>
    <s v="GO78"/>
    <s v="FR"/>
    <m/>
    <m/>
    <n v="206"/>
    <x v="6"/>
    <s v="G"/>
    <n v="206"/>
    <s v="G"/>
    <s v="G"/>
    <m/>
    <m/>
    <m/>
    <m/>
    <m/>
    <m/>
    <m/>
    <m/>
    <m/>
    <n v="0"/>
    <n v="0"/>
    <m/>
    <n v="0"/>
    <n v="0"/>
    <m/>
    <m/>
    <m/>
    <n v="0"/>
    <n v="0"/>
    <n v="0"/>
    <n v="0"/>
    <m/>
    <m/>
    <n v="9007"/>
    <s v="G 2.7 Vert/Bleu"/>
    <n v="2.8"/>
    <m/>
    <n v="11"/>
  </r>
  <r>
    <m/>
    <m/>
    <m/>
    <m/>
    <n v="8509009"/>
    <n v="36107"/>
    <m/>
    <s v="RICARD BORCHORST"/>
    <s v="Axel"/>
    <m/>
    <n v="2013"/>
    <s v="M"/>
    <m/>
    <n v="0"/>
    <m/>
    <m/>
    <m/>
    <n v="0"/>
    <m/>
    <m/>
    <m/>
    <n v="9502"/>
    <s v="9502IF"/>
    <s v="ACBeauchamp"/>
    <s v="FR"/>
    <m/>
    <m/>
    <n v="206"/>
    <x v="6"/>
    <s v="G"/>
    <n v="206"/>
    <s v="G"/>
    <s v="G"/>
    <m/>
    <m/>
    <m/>
    <m/>
    <m/>
    <m/>
    <m/>
    <m/>
    <m/>
    <n v="0"/>
    <n v="0"/>
    <m/>
    <n v="0"/>
    <n v="0"/>
    <m/>
    <m/>
    <m/>
    <n v="0"/>
    <n v="0"/>
    <n v="0"/>
    <n v="0"/>
    <m/>
    <m/>
    <n v="9007"/>
    <s v="G 2.7 Vert/Bleu"/>
    <n v="2.8"/>
    <m/>
    <n v="11"/>
  </r>
  <r>
    <m/>
    <m/>
    <m/>
    <m/>
    <n v="2213307"/>
    <n v="39958"/>
    <m/>
    <s v="ROQUET"/>
    <s v="Alix"/>
    <m/>
    <n v="2011"/>
    <s v="F"/>
    <m/>
    <n v="0"/>
    <m/>
    <m/>
    <m/>
    <n v="0"/>
    <m/>
    <m/>
    <m/>
    <n v="7707"/>
    <s v="7707IF"/>
    <s v="OPA MONTIGNY"/>
    <s v="FR"/>
    <m/>
    <m/>
    <n v="206"/>
    <x v="6"/>
    <s v="G"/>
    <n v="206"/>
    <s v="G"/>
    <s v="G"/>
    <m/>
    <m/>
    <m/>
    <m/>
    <m/>
    <m/>
    <m/>
    <m/>
    <m/>
    <n v="0"/>
    <n v="0"/>
    <m/>
    <n v="0"/>
    <n v="0"/>
    <m/>
    <m/>
    <m/>
    <n v="0"/>
    <n v="0"/>
    <n v="0"/>
    <n v="0"/>
    <m/>
    <m/>
    <n v="9007"/>
    <s v="G 2.7 Vert/Bleu"/>
    <n v="2.8"/>
    <m/>
    <n v="11"/>
  </r>
  <r>
    <m/>
    <m/>
    <m/>
    <m/>
    <n v="8624420"/>
    <n v="30997"/>
    <n v="0"/>
    <s v="TIRBOIS"/>
    <s v="Raphaël"/>
    <m/>
    <n v="2013"/>
    <s v="M"/>
    <m/>
    <n v="0"/>
    <m/>
    <m/>
    <m/>
    <n v="0"/>
    <m/>
    <m/>
    <m/>
    <n v="7719"/>
    <s v="7719IF"/>
    <s v="ERCO"/>
    <s v="Fra"/>
    <m/>
    <m/>
    <n v="206"/>
    <x v="6"/>
    <s v="G"/>
    <n v="205"/>
    <s v="F"/>
    <s v="F"/>
    <m/>
    <m/>
    <m/>
    <m/>
    <m/>
    <m/>
    <s v="Compétition"/>
    <m/>
    <m/>
    <m/>
    <m/>
    <m/>
    <m/>
    <m/>
    <m/>
    <m/>
    <m/>
    <m/>
    <n v="0"/>
    <n v="0"/>
    <n v="0"/>
    <m/>
    <m/>
    <n v="9007"/>
    <s v="G 2.7 Vert/Bleu"/>
    <n v="2.8"/>
    <m/>
    <n v="11"/>
  </r>
  <r>
    <m/>
    <m/>
    <m/>
    <m/>
    <n v="9120670"/>
    <n v="17309"/>
    <m/>
    <s v="BESTEL"/>
    <s v="Florence"/>
    <m/>
    <n v="1970"/>
    <s v="F"/>
    <m/>
    <n v="0"/>
    <m/>
    <m/>
    <m/>
    <n v="0"/>
    <m/>
    <m/>
    <m/>
    <n v="9105"/>
    <s v="9105IF"/>
    <s v="COLE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9417435"/>
    <n v="10758"/>
    <m/>
    <s v="BESTEL"/>
    <s v="Sandra"/>
    <m/>
    <n v="1996"/>
    <s v="F"/>
    <m/>
    <n v="0"/>
    <m/>
    <m/>
    <m/>
    <n v="0"/>
    <m/>
    <m/>
    <m/>
    <n v="9105"/>
    <s v="9105IF"/>
    <s v="COLE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70558"/>
    <n v="12646"/>
    <m/>
    <s v="BLUM"/>
    <s v="Virginie"/>
    <m/>
    <n v="1958"/>
    <s v="F"/>
    <m/>
    <n v="0"/>
    <m/>
    <m/>
    <m/>
    <n v="0"/>
    <m/>
    <m/>
    <m/>
    <n v="5116"/>
    <s v="5116GE"/>
    <s v="ASO Sillery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n v="30127"/>
    <m/>
    <s v="BOUCHART"/>
    <s v="Dominique"/>
    <m/>
    <n v="1965"/>
    <s v="F"/>
    <m/>
    <n v="0"/>
    <m/>
    <m/>
    <m/>
    <n v="0"/>
    <m/>
    <m/>
    <m/>
    <n v="7807"/>
    <s v="7807IF"/>
    <s v="GO78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s v="X"/>
    <n v="0"/>
    <n v="0"/>
    <m/>
    <m/>
    <n v="9001"/>
    <s v="9001: 65 - 128"/>
    <m/>
    <m/>
    <n v="77"/>
  </r>
  <r>
    <m/>
    <m/>
    <m/>
    <m/>
    <n v="8015116"/>
    <n v="31830"/>
    <m/>
    <s v="BOUCHE"/>
    <s v="Nathalie"/>
    <m/>
    <n v="1963"/>
    <s v="F"/>
    <m/>
    <n v="0"/>
    <m/>
    <m/>
    <m/>
    <n v="0"/>
    <m/>
    <m/>
    <m/>
    <n v="5116"/>
    <s v="5116GE"/>
    <s v="ASO Sillery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270880"/>
    <n v="21140"/>
    <m/>
    <s v="CHASLES"/>
    <s v="Aurélie"/>
    <m/>
    <n v="1980"/>
    <s v="F"/>
    <m/>
    <n v="0"/>
    <m/>
    <m/>
    <m/>
    <n v="0"/>
    <m/>
    <m/>
    <m/>
    <n v="4504"/>
    <s v="4504CE"/>
    <s v="ASCO ORLEANS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77819"/>
    <n v="8551"/>
    <m/>
    <s v="CLOUARD"/>
    <s v="Lucile"/>
    <m/>
    <n v="1995"/>
    <s v="F"/>
    <m/>
    <n v="0"/>
    <m/>
    <m/>
    <m/>
    <n v="0"/>
    <m/>
    <m/>
    <m/>
    <n v="7807"/>
    <s v="7807IF"/>
    <s v="GO78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81082"/>
    <n v="43384"/>
    <m/>
    <s v="DELCOURT"/>
    <s v="Lucie"/>
    <m/>
    <n v="1982"/>
    <s v="F"/>
    <m/>
    <n v="0"/>
    <m/>
    <m/>
    <m/>
    <n v="0"/>
    <m/>
    <m/>
    <m/>
    <n v="5906"/>
    <s v="5906HF"/>
    <s v="VALMO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405907"/>
    <n v="23885"/>
    <m/>
    <s v="DUQUENNE"/>
    <s v="Audrey"/>
    <m/>
    <n v="1996"/>
    <s v="F"/>
    <m/>
    <n v="0"/>
    <m/>
    <m/>
    <m/>
    <n v="0"/>
    <m/>
    <m/>
    <m/>
    <n v="5907"/>
    <s v="5907HF"/>
    <s v="T.A.D.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2355"/>
    <n v="16950"/>
    <m/>
    <s v="GUENIN"/>
    <s v="Nathalie"/>
    <m/>
    <n v="1970"/>
    <s v="F"/>
    <m/>
    <n v="0"/>
    <m/>
    <m/>
    <m/>
    <n v="0"/>
    <m/>
    <m/>
    <m/>
    <n v="5116"/>
    <s v="5116GE"/>
    <s v="ASO Sillery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162051"/>
    <n v="29467"/>
    <m/>
    <s v="LABARRE"/>
    <s v="Maria"/>
    <m/>
    <n v="1999"/>
    <s v="F"/>
    <m/>
    <n v="0"/>
    <m/>
    <m/>
    <m/>
    <n v="0"/>
    <m/>
    <m/>
    <m/>
    <n v="6205"/>
    <s v="6205HF"/>
    <s v="O²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4808"/>
    <n v="25405"/>
    <m/>
    <s v="LELEU"/>
    <s v="Hélène"/>
    <m/>
    <n v="1978"/>
    <s v="F"/>
    <m/>
    <n v="0"/>
    <m/>
    <m/>
    <m/>
    <n v="0"/>
    <m/>
    <m/>
    <m/>
    <n v="5116"/>
    <s v="5116GE"/>
    <s v="ASO Sillery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643378"/>
    <m/>
    <m/>
    <s v="LEONARD"/>
    <s v="Rosemonde"/>
    <m/>
    <n v="1990"/>
    <s v="F"/>
    <m/>
    <n v="0"/>
    <m/>
    <m/>
    <m/>
    <n v="0"/>
    <m/>
    <m/>
    <m/>
    <n v="90002"/>
    <s v="Pass_C"/>
    <s v="Pass Competition"/>
    <m/>
    <m/>
    <m/>
    <n v="207"/>
    <x v="7"/>
    <s v="AF"/>
    <n v="207"/>
    <s v="AF"/>
    <s v="AF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02186"/>
    <n v="2100"/>
    <m/>
    <s v="MORLON"/>
    <s v="Marie"/>
    <m/>
    <n v="1967"/>
    <s v="F"/>
    <m/>
    <n v="0"/>
    <m/>
    <m/>
    <m/>
    <n v="0"/>
    <m/>
    <m/>
    <m/>
    <n v="2108"/>
    <s v="2108BF"/>
    <s v="Talant SO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10787"/>
    <m/>
    <m/>
    <s v="MULLER"/>
    <s v="Josephine"/>
    <m/>
    <n v="1987"/>
    <s v="F"/>
    <m/>
    <n v="0"/>
    <m/>
    <m/>
    <m/>
    <n v="0"/>
    <m/>
    <m/>
    <m/>
    <n v="90002"/>
    <s v="Pass_C"/>
    <s v="Pass Competition"/>
    <m/>
    <m/>
    <m/>
    <n v="207"/>
    <x v="7"/>
    <s v="AF"/>
    <n v="207"/>
    <s v="AF"/>
    <s v="AF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09930"/>
    <n v="2179"/>
    <m/>
    <s v="OLIVIER"/>
    <s v="Sandra"/>
    <m/>
    <n v="1968"/>
    <s v="F"/>
    <m/>
    <n v="0"/>
    <m/>
    <m/>
    <m/>
    <n v="0"/>
    <m/>
    <m/>
    <m/>
    <n v="7716"/>
    <s v="7716IF"/>
    <s v="BALISE 77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506876"/>
    <n v="24537"/>
    <m/>
    <s v="PEKER"/>
    <s v="Mélanie"/>
    <m/>
    <n v="1996"/>
    <s v="F"/>
    <m/>
    <n v="0"/>
    <m/>
    <m/>
    <m/>
    <n v="0"/>
    <m/>
    <m/>
    <m/>
    <n v="7707"/>
    <s v="7707IF"/>
    <s v="OPA MONTIGNY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7001077"/>
    <m/>
    <m/>
    <s v="RAUW"/>
    <s v="Magali"/>
    <m/>
    <n v="1994"/>
    <s v="F"/>
    <m/>
    <n v="0"/>
    <m/>
    <m/>
    <m/>
    <n v="0"/>
    <m/>
    <m/>
    <m/>
    <n v="90002"/>
    <s v="Pass_C"/>
    <s v="Pass Competition"/>
    <m/>
    <m/>
    <m/>
    <n v="207"/>
    <x v="7"/>
    <s v="AF"/>
    <n v="207"/>
    <s v="AF"/>
    <s v="AF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m/>
    <n v="27022"/>
    <m/>
    <s v="RINTJEMA"/>
    <s v="Carole"/>
    <m/>
    <n v="1981"/>
    <s v="F"/>
    <m/>
    <n v="0"/>
    <m/>
    <m/>
    <m/>
    <n v="0"/>
    <m/>
    <m/>
    <m/>
    <n v="7716"/>
    <s v="7716IF"/>
    <s v="BALISE 77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s v="X"/>
    <n v="0"/>
    <n v="0"/>
    <m/>
    <m/>
    <n v="9001"/>
    <s v="9001: 65 - 128"/>
    <m/>
    <m/>
    <n v="77"/>
  </r>
  <r>
    <m/>
    <m/>
    <m/>
    <m/>
    <n v="7010325"/>
    <n v="21281"/>
    <n v="0"/>
    <s v="RIOLLET"/>
    <s v="Marion"/>
    <m/>
    <n v="2001"/>
    <s v="F"/>
    <m/>
    <n v="0"/>
    <m/>
    <m/>
    <m/>
    <n v="0"/>
    <m/>
    <m/>
    <m/>
    <n v="6911"/>
    <s v="6911AR"/>
    <s v="ASUL SPORTS NAT"/>
    <s v="Fra"/>
    <m/>
    <m/>
    <n v="207"/>
    <x v="7"/>
    <s v="AF"/>
    <n v="200"/>
    <s v="A"/>
    <s v="A"/>
    <m/>
    <m/>
    <m/>
    <m/>
    <m/>
    <m/>
    <s v="Compétition"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270100"/>
    <n v="20152"/>
    <m/>
    <s v="RUDKIEWICZ"/>
    <s v="Lucie"/>
    <m/>
    <n v="2000"/>
    <s v="F"/>
    <m/>
    <n v="0"/>
    <m/>
    <m/>
    <m/>
    <n v="0"/>
    <m/>
    <m/>
    <m/>
    <n v="2508"/>
    <s v="2508BF"/>
    <s v="BALISE 25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30505"/>
    <n v="24375"/>
    <m/>
    <s v="SELLIER"/>
    <s v="Valentine"/>
    <m/>
    <n v="2005"/>
    <s v="F"/>
    <m/>
    <n v="0"/>
    <m/>
    <m/>
    <m/>
    <n v="0"/>
    <m/>
    <m/>
    <m/>
    <n v="111"/>
    <s v="0111AR"/>
    <s v="CO AMBERIEU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n v="21220"/>
    <m/>
    <s v="TAISSON"/>
    <s v="Sandrine"/>
    <m/>
    <n v="1970"/>
    <s v="F"/>
    <m/>
    <n v="0"/>
    <m/>
    <m/>
    <m/>
    <n v="0"/>
    <m/>
    <m/>
    <m/>
    <n v="7807"/>
    <s v="7807IF"/>
    <s v="GO78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s v="X"/>
    <n v="0"/>
    <n v="0"/>
    <m/>
    <m/>
    <n v="9001"/>
    <s v="9001: 65 - 128"/>
    <m/>
    <m/>
    <n v="77"/>
  </r>
  <r>
    <m/>
    <m/>
    <m/>
    <m/>
    <n v="8002906"/>
    <n v="24793"/>
    <m/>
    <s v="THONIER"/>
    <s v="Fanny"/>
    <m/>
    <n v="2001"/>
    <s v="F"/>
    <m/>
    <n v="0"/>
    <m/>
    <m/>
    <m/>
    <n v="0"/>
    <m/>
    <m/>
    <m/>
    <n v="7807"/>
    <s v="7807IF"/>
    <s v="GO78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0192"/>
    <m/>
    <m/>
    <s v="VAN DE VELDE"/>
    <s v="Liesbeth"/>
    <m/>
    <n v="1983"/>
    <s v="F"/>
    <m/>
    <n v="0"/>
    <m/>
    <m/>
    <m/>
    <n v="0"/>
    <m/>
    <m/>
    <m/>
    <n v="90002"/>
    <s v="Pass_C"/>
    <s v="Pass Competition"/>
    <m/>
    <m/>
    <m/>
    <n v="207"/>
    <x v="7"/>
    <s v="AF"/>
    <n v="207"/>
    <s v="AF"/>
    <s v="AF"/>
    <m/>
    <m/>
    <m/>
    <m/>
    <m/>
    <m/>
    <m/>
    <m/>
    <m/>
    <m/>
    <m/>
    <m/>
    <m/>
    <m/>
    <m/>
    <m/>
    <m/>
    <m/>
    <n v="0"/>
    <n v="0"/>
    <n v="0"/>
    <m/>
    <m/>
    <n v="9001"/>
    <s v="9001: 65 - 128"/>
    <m/>
    <m/>
    <n v="77"/>
  </r>
  <r>
    <m/>
    <m/>
    <m/>
    <m/>
    <n v="8088035"/>
    <n v="28412"/>
    <m/>
    <s v="VANEL"/>
    <s v="Elise"/>
    <m/>
    <n v="1999"/>
    <s v="F"/>
    <m/>
    <n v="0"/>
    <m/>
    <m/>
    <m/>
    <n v="0"/>
    <m/>
    <m/>
    <m/>
    <n v="5703"/>
    <s v="5703GE"/>
    <s v="T.A. FAMECK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94045"/>
    <n v="13244"/>
    <m/>
    <s v="VARRON"/>
    <s v="Stephanie"/>
    <m/>
    <n v="1970"/>
    <s v="F"/>
    <m/>
    <n v="0"/>
    <m/>
    <m/>
    <m/>
    <n v="0"/>
    <m/>
    <m/>
    <m/>
    <n v="9404"/>
    <s v="9404IF"/>
    <s v="AS IGN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n v="8050320"/>
    <n v="14238"/>
    <m/>
    <s v="VUILLEMARD"/>
    <s v="Marie"/>
    <m/>
    <n v="1980"/>
    <s v="F"/>
    <m/>
    <n v="0"/>
    <m/>
    <m/>
    <m/>
    <n v="0"/>
    <m/>
    <m/>
    <m/>
    <n v="8812"/>
    <s v="8812GE"/>
    <s v="O'ZONE 88"/>
    <s v="FR"/>
    <m/>
    <m/>
    <n v="207"/>
    <x v="7"/>
    <s v="AF"/>
    <n v="200"/>
    <s v="A"/>
    <s v="A"/>
    <m/>
    <m/>
    <m/>
    <m/>
    <m/>
    <m/>
    <m/>
    <m/>
    <m/>
    <n v="0"/>
    <n v="0"/>
    <m/>
    <n v="0"/>
    <n v="0"/>
    <m/>
    <m/>
    <m/>
    <n v="0"/>
    <n v="0"/>
    <n v="0"/>
    <n v="0"/>
    <m/>
    <m/>
    <n v="9001"/>
    <s v="9001: 65 - 128"/>
    <m/>
    <m/>
    <n v="77"/>
  </r>
  <r>
    <m/>
    <m/>
    <m/>
    <m/>
    <m/>
    <m/>
    <m/>
    <m/>
    <m/>
    <m/>
    <m/>
    <m/>
    <m/>
    <m/>
    <m/>
    <m/>
    <m/>
    <m/>
    <m/>
    <m/>
    <m/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5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B13" firstHeaderRow="1" firstDataRow="1" firstDataCol="1"/>
  <pivotFields count="6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0"/>
        <item x="7"/>
        <item x="2"/>
        <item x="3"/>
        <item x="4"/>
        <item x="5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ombre de NOM" fld="7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7"/>
  <sheetViews>
    <sheetView tabSelected="1" workbookViewId="0">
      <selection activeCell="A2" sqref="A2:H477"/>
    </sheetView>
  </sheetViews>
  <sheetFormatPr baseColWidth="10" defaultRowHeight="15"/>
  <cols>
    <col min="1" max="1" width="18.28515625" style="19" bestFit="1" customWidth="1"/>
    <col min="2" max="2" width="20" style="19" bestFit="1" customWidth="1"/>
    <col min="3" max="4" width="11.42578125" style="19"/>
    <col min="5" max="5" width="14" style="19" bestFit="1" customWidth="1"/>
    <col min="6" max="6" width="18.140625" style="19" bestFit="1" customWidth="1"/>
    <col min="7" max="7" width="10" style="19" bestFit="1" customWidth="1"/>
    <col min="8" max="8" width="12.5703125" style="19" bestFit="1" customWidth="1"/>
  </cols>
  <sheetData>
    <row r="1" spans="1:8">
      <c r="A1" s="20" t="s">
        <v>0</v>
      </c>
      <c r="B1" s="20" t="s">
        <v>1</v>
      </c>
      <c r="C1" s="20" t="s">
        <v>2</v>
      </c>
      <c r="D1" s="20" t="s">
        <v>3</v>
      </c>
      <c r="E1" s="20" t="s">
        <v>817</v>
      </c>
      <c r="F1" s="20" t="s">
        <v>5</v>
      </c>
      <c r="G1" s="20" t="s">
        <v>818</v>
      </c>
      <c r="H1" s="20" t="s">
        <v>814</v>
      </c>
    </row>
    <row r="2" spans="1:8">
      <c r="A2" s="21"/>
      <c r="B2" s="21" t="s">
        <v>537</v>
      </c>
      <c r="C2" s="21" t="s">
        <v>538</v>
      </c>
      <c r="D2" s="21">
        <v>1998</v>
      </c>
      <c r="E2" s="21" t="s">
        <v>8</v>
      </c>
      <c r="F2" s="21" t="s">
        <v>9</v>
      </c>
      <c r="G2" s="21" t="s">
        <v>451</v>
      </c>
      <c r="H2" s="21"/>
    </row>
    <row r="3" spans="1:8">
      <c r="A3" s="21">
        <v>8638375</v>
      </c>
      <c r="B3" s="21" t="s">
        <v>6</v>
      </c>
      <c r="C3" s="21" t="s">
        <v>7</v>
      </c>
      <c r="D3" s="21">
        <v>1986</v>
      </c>
      <c r="E3" s="21" t="s">
        <v>8</v>
      </c>
      <c r="F3" s="21" t="s">
        <v>9</v>
      </c>
      <c r="G3" s="21" t="s">
        <v>10</v>
      </c>
      <c r="H3" s="21"/>
    </row>
    <row r="4" spans="1:8">
      <c r="A4" s="21">
        <v>8260891</v>
      </c>
      <c r="B4" s="21" t="s">
        <v>421</v>
      </c>
      <c r="C4" s="21" t="s">
        <v>382</v>
      </c>
      <c r="D4" s="21">
        <v>1991</v>
      </c>
      <c r="E4" s="21" t="s">
        <v>116</v>
      </c>
      <c r="F4" s="21" t="s">
        <v>117</v>
      </c>
      <c r="G4" s="21" t="s">
        <v>422</v>
      </c>
      <c r="H4" s="21">
        <v>11655</v>
      </c>
    </row>
    <row r="5" spans="1:8">
      <c r="A5" s="21">
        <v>9190664</v>
      </c>
      <c r="B5" s="21" t="s">
        <v>423</v>
      </c>
      <c r="C5" s="21" t="s">
        <v>424</v>
      </c>
      <c r="D5" s="21">
        <v>1964</v>
      </c>
      <c r="E5" s="21" t="s">
        <v>273</v>
      </c>
      <c r="F5" s="21" t="s">
        <v>274</v>
      </c>
      <c r="G5" s="21" t="s">
        <v>422</v>
      </c>
      <c r="H5" s="21">
        <v>2920</v>
      </c>
    </row>
    <row r="6" spans="1:8">
      <c r="A6" s="21">
        <v>228366</v>
      </c>
      <c r="B6" s="21" t="s">
        <v>425</v>
      </c>
      <c r="C6" s="21" t="s">
        <v>426</v>
      </c>
      <c r="D6" s="21">
        <v>1960</v>
      </c>
      <c r="E6" s="21" t="s">
        <v>111</v>
      </c>
      <c r="F6" s="21" t="s">
        <v>112</v>
      </c>
      <c r="G6" s="21" t="s">
        <v>422</v>
      </c>
      <c r="H6" s="21">
        <v>14351</v>
      </c>
    </row>
    <row r="7" spans="1:8">
      <c r="A7" s="21">
        <v>228380</v>
      </c>
      <c r="B7" s="21" t="s">
        <v>425</v>
      </c>
      <c r="C7" s="21" t="s">
        <v>427</v>
      </c>
      <c r="D7" s="21">
        <v>1961</v>
      </c>
      <c r="E7" s="21" t="s">
        <v>111</v>
      </c>
      <c r="F7" s="21" t="s">
        <v>112</v>
      </c>
      <c r="G7" s="21" t="s">
        <v>422</v>
      </c>
      <c r="H7" s="21">
        <v>39736</v>
      </c>
    </row>
    <row r="8" spans="1:8">
      <c r="A8" s="21"/>
      <c r="B8" s="21" t="s">
        <v>298</v>
      </c>
      <c r="C8" s="21" t="s">
        <v>299</v>
      </c>
      <c r="D8" s="21">
        <v>1971</v>
      </c>
      <c r="E8" s="21" t="s">
        <v>8</v>
      </c>
      <c r="F8" s="21" t="s">
        <v>9</v>
      </c>
      <c r="G8" s="21" t="s">
        <v>300</v>
      </c>
      <c r="H8" s="21"/>
    </row>
    <row r="9" spans="1:8">
      <c r="A9" s="21">
        <v>8270596</v>
      </c>
      <c r="B9" s="21" t="s">
        <v>11</v>
      </c>
      <c r="C9" s="21" t="s">
        <v>12</v>
      </c>
      <c r="D9" s="21">
        <v>1996</v>
      </c>
      <c r="E9" s="21" t="s">
        <v>13</v>
      </c>
      <c r="F9" s="21" t="s">
        <v>14</v>
      </c>
      <c r="G9" s="21" t="s">
        <v>10</v>
      </c>
      <c r="H9" s="21">
        <v>32319</v>
      </c>
    </row>
    <row r="10" spans="1:8">
      <c r="A10" s="21">
        <v>8304035</v>
      </c>
      <c r="B10" s="21" t="s">
        <v>301</v>
      </c>
      <c r="C10" s="21" t="s">
        <v>240</v>
      </c>
      <c r="D10" s="21">
        <v>1983</v>
      </c>
      <c r="E10" s="21" t="s">
        <v>302</v>
      </c>
      <c r="F10" s="21" t="s">
        <v>303</v>
      </c>
      <c r="G10" s="21" t="s">
        <v>300</v>
      </c>
      <c r="H10" s="21">
        <v>15733</v>
      </c>
    </row>
    <row r="11" spans="1:8">
      <c r="A11" s="21">
        <v>8221060</v>
      </c>
      <c r="B11" s="21" t="s">
        <v>301</v>
      </c>
      <c r="C11" s="21" t="s">
        <v>539</v>
      </c>
      <c r="D11" s="21">
        <v>1982</v>
      </c>
      <c r="E11" s="21" t="s">
        <v>302</v>
      </c>
      <c r="F11" s="21" t="s">
        <v>303</v>
      </c>
      <c r="G11" s="21" t="s">
        <v>451</v>
      </c>
      <c r="H11" s="21">
        <v>20995</v>
      </c>
    </row>
    <row r="12" spans="1:8">
      <c r="A12" s="21">
        <v>8112202</v>
      </c>
      <c r="B12" s="21" t="s">
        <v>301</v>
      </c>
      <c r="C12" s="21" t="s">
        <v>751</v>
      </c>
      <c r="D12" s="21">
        <v>2011</v>
      </c>
      <c r="E12" s="21" t="s">
        <v>302</v>
      </c>
      <c r="F12" s="21" t="s">
        <v>303</v>
      </c>
      <c r="G12" s="21" t="s">
        <v>752</v>
      </c>
      <c r="H12" s="21">
        <v>32842</v>
      </c>
    </row>
    <row r="13" spans="1:8">
      <c r="A13" s="21">
        <v>8062311</v>
      </c>
      <c r="B13" s="21" t="s">
        <v>304</v>
      </c>
      <c r="C13" s="21" t="s">
        <v>305</v>
      </c>
      <c r="D13" s="21">
        <v>2006</v>
      </c>
      <c r="E13" s="21" t="s">
        <v>51</v>
      </c>
      <c r="F13" s="21" t="s">
        <v>52</v>
      </c>
      <c r="G13" s="21" t="s">
        <v>300</v>
      </c>
      <c r="H13" s="21">
        <v>37017</v>
      </c>
    </row>
    <row r="14" spans="1:8">
      <c r="A14" s="21">
        <v>2303881</v>
      </c>
      <c r="B14" s="21" t="s">
        <v>624</v>
      </c>
      <c r="C14" s="21" t="s">
        <v>340</v>
      </c>
      <c r="D14" s="21">
        <v>1981</v>
      </c>
      <c r="E14" s="21" t="s">
        <v>61</v>
      </c>
      <c r="F14" s="21" t="s">
        <v>62</v>
      </c>
      <c r="G14" s="21" t="s">
        <v>625</v>
      </c>
      <c r="H14" s="21">
        <v>41561</v>
      </c>
    </row>
    <row r="15" spans="1:8">
      <c r="A15" s="21">
        <v>7711130</v>
      </c>
      <c r="B15" s="21" t="s">
        <v>15</v>
      </c>
      <c r="C15" s="21" t="s">
        <v>16</v>
      </c>
      <c r="D15" s="21">
        <v>1971</v>
      </c>
      <c r="E15" s="21" t="s">
        <v>8</v>
      </c>
      <c r="F15" s="21" t="s">
        <v>9</v>
      </c>
      <c r="G15" s="21" t="s">
        <v>10</v>
      </c>
      <c r="H15" s="21"/>
    </row>
    <row r="16" spans="1:8">
      <c r="A16" s="21">
        <v>9090650</v>
      </c>
      <c r="B16" s="21" t="s">
        <v>428</v>
      </c>
      <c r="C16" s="21" t="s">
        <v>429</v>
      </c>
      <c r="D16" s="21">
        <v>1983</v>
      </c>
      <c r="E16" s="21" t="s">
        <v>325</v>
      </c>
      <c r="F16" s="21" t="s">
        <v>326</v>
      </c>
      <c r="G16" s="21" t="s">
        <v>422</v>
      </c>
      <c r="H16" s="21">
        <v>46184</v>
      </c>
    </row>
    <row r="17" spans="1:8">
      <c r="A17" s="21"/>
      <c r="B17" s="21" t="s">
        <v>17</v>
      </c>
      <c r="C17" s="21" t="s">
        <v>18</v>
      </c>
      <c r="D17" s="21">
        <v>2002</v>
      </c>
      <c r="E17" s="21" t="s">
        <v>8</v>
      </c>
      <c r="F17" s="21" t="s">
        <v>9</v>
      </c>
      <c r="G17" s="21" t="s">
        <v>10</v>
      </c>
      <c r="H17" s="21"/>
    </row>
    <row r="18" spans="1:8">
      <c r="A18" s="21">
        <v>8000187</v>
      </c>
      <c r="B18" s="21" t="s">
        <v>19</v>
      </c>
      <c r="C18" s="21" t="s">
        <v>20</v>
      </c>
      <c r="D18" s="21">
        <v>1965</v>
      </c>
      <c r="E18" s="21" t="s">
        <v>21</v>
      </c>
      <c r="F18" s="21" t="s">
        <v>22</v>
      </c>
      <c r="G18" s="21" t="s">
        <v>10</v>
      </c>
      <c r="H18" s="21">
        <v>28536</v>
      </c>
    </row>
    <row r="19" spans="1:8">
      <c r="A19" s="21">
        <v>8002198</v>
      </c>
      <c r="B19" s="21" t="s">
        <v>19</v>
      </c>
      <c r="C19" s="21" t="s">
        <v>430</v>
      </c>
      <c r="D19" s="21">
        <v>1965</v>
      </c>
      <c r="E19" s="21" t="s">
        <v>207</v>
      </c>
      <c r="F19" s="21" t="s">
        <v>208</v>
      </c>
      <c r="G19" s="21" t="s">
        <v>422</v>
      </c>
      <c r="H19" s="21">
        <v>28538</v>
      </c>
    </row>
    <row r="20" spans="1:8">
      <c r="A20" s="21">
        <v>2011017</v>
      </c>
      <c r="B20" s="21" t="s">
        <v>626</v>
      </c>
      <c r="C20" s="21" t="s">
        <v>627</v>
      </c>
      <c r="D20" s="21">
        <v>2007</v>
      </c>
      <c r="E20" s="21" t="s">
        <v>51</v>
      </c>
      <c r="F20" s="21" t="s">
        <v>52</v>
      </c>
      <c r="G20" s="21" t="s">
        <v>625</v>
      </c>
      <c r="H20" s="21">
        <v>43655</v>
      </c>
    </row>
    <row r="21" spans="1:8">
      <c r="A21" s="21">
        <v>2230073</v>
      </c>
      <c r="B21" s="21" t="s">
        <v>628</v>
      </c>
      <c r="C21" s="21" t="s">
        <v>104</v>
      </c>
      <c r="D21" s="21">
        <v>1978</v>
      </c>
      <c r="E21" s="21" t="s">
        <v>47</v>
      </c>
      <c r="F21" s="21" t="s">
        <v>48</v>
      </c>
      <c r="G21" s="21" t="s">
        <v>625</v>
      </c>
      <c r="H21" s="21">
        <v>44364</v>
      </c>
    </row>
    <row r="22" spans="1:8">
      <c r="A22" s="21">
        <v>2311181</v>
      </c>
      <c r="B22" s="21" t="s">
        <v>628</v>
      </c>
      <c r="C22" s="21" t="s">
        <v>701</v>
      </c>
      <c r="D22" s="21">
        <v>2009</v>
      </c>
      <c r="E22" s="21" t="s">
        <v>47</v>
      </c>
      <c r="F22" s="21" t="s">
        <v>48</v>
      </c>
      <c r="G22" s="21" t="s">
        <v>310</v>
      </c>
      <c r="H22" s="21">
        <v>39890</v>
      </c>
    </row>
    <row r="23" spans="1:8">
      <c r="A23" s="21">
        <v>2049193</v>
      </c>
      <c r="B23" s="21" t="s">
        <v>540</v>
      </c>
      <c r="C23" s="21" t="s">
        <v>541</v>
      </c>
      <c r="D23" s="21">
        <v>1956</v>
      </c>
      <c r="E23" s="21" t="s">
        <v>89</v>
      </c>
      <c r="F23" s="21" t="s">
        <v>90</v>
      </c>
      <c r="G23" s="21" t="s">
        <v>451</v>
      </c>
      <c r="H23" s="21">
        <v>22987</v>
      </c>
    </row>
    <row r="24" spans="1:8">
      <c r="A24" s="21">
        <v>8002184</v>
      </c>
      <c r="B24" s="21" t="s">
        <v>306</v>
      </c>
      <c r="C24" s="21" t="s">
        <v>307</v>
      </c>
      <c r="D24" s="21">
        <v>1990</v>
      </c>
      <c r="E24" s="21" t="s">
        <v>34</v>
      </c>
      <c r="F24" s="21" t="s">
        <v>35</v>
      </c>
      <c r="G24" s="21" t="s">
        <v>300</v>
      </c>
      <c r="H24" s="21">
        <v>12607</v>
      </c>
    </row>
    <row r="25" spans="1:8">
      <c r="A25" s="21"/>
      <c r="B25" s="21" t="s">
        <v>431</v>
      </c>
      <c r="C25" s="21" t="s">
        <v>92</v>
      </c>
      <c r="D25" s="21">
        <v>1986</v>
      </c>
      <c r="E25" s="21" t="s">
        <v>8</v>
      </c>
      <c r="F25" s="21" t="s">
        <v>9</v>
      </c>
      <c r="G25" s="21" t="s">
        <v>422</v>
      </c>
      <c r="H25" s="21"/>
    </row>
    <row r="26" spans="1:8">
      <c r="A26" s="21">
        <v>1502046</v>
      </c>
      <c r="B26" s="21" t="s">
        <v>432</v>
      </c>
      <c r="C26" s="21" t="s">
        <v>433</v>
      </c>
      <c r="D26" s="21">
        <v>1973</v>
      </c>
      <c r="E26" s="21" t="s">
        <v>61</v>
      </c>
      <c r="F26" s="21" t="s">
        <v>62</v>
      </c>
      <c r="G26" s="21" t="s">
        <v>422</v>
      </c>
      <c r="H26" s="21">
        <v>42199</v>
      </c>
    </row>
    <row r="27" spans="1:8">
      <c r="A27" s="21">
        <v>8002116</v>
      </c>
      <c r="B27" s="21" t="s">
        <v>23</v>
      </c>
      <c r="C27" s="21" t="s">
        <v>24</v>
      </c>
      <c r="D27" s="21">
        <v>1976</v>
      </c>
      <c r="E27" s="21" t="s">
        <v>25</v>
      </c>
      <c r="F27" s="21" t="s">
        <v>26</v>
      </c>
      <c r="G27" s="21" t="s">
        <v>10</v>
      </c>
      <c r="H27" s="21">
        <v>37945</v>
      </c>
    </row>
    <row r="28" spans="1:8">
      <c r="A28" s="21">
        <v>8100299</v>
      </c>
      <c r="B28" s="21" t="s">
        <v>27</v>
      </c>
      <c r="C28" s="21" t="s">
        <v>28</v>
      </c>
      <c r="D28" s="21">
        <v>1999</v>
      </c>
      <c r="E28" s="21" t="s">
        <v>29</v>
      </c>
      <c r="F28" s="21" t="s">
        <v>30</v>
      </c>
      <c r="G28" s="21" t="s">
        <v>10</v>
      </c>
      <c r="H28" s="21">
        <v>17308</v>
      </c>
    </row>
    <row r="29" spans="1:8">
      <c r="A29" s="21">
        <v>8190571</v>
      </c>
      <c r="B29" s="21" t="s">
        <v>27</v>
      </c>
      <c r="C29" s="21" t="s">
        <v>31</v>
      </c>
      <c r="D29" s="21">
        <v>1971</v>
      </c>
      <c r="E29" s="21" t="s">
        <v>29</v>
      </c>
      <c r="F29" s="21" t="s">
        <v>30</v>
      </c>
      <c r="G29" s="21" t="s">
        <v>10</v>
      </c>
      <c r="H29" s="21">
        <v>9601</v>
      </c>
    </row>
    <row r="30" spans="1:8">
      <c r="A30" s="21">
        <v>9120670</v>
      </c>
      <c r="B30" s="21" t="s">
        <v>27</v>
      </c>
      <c r="C30" s="21" t="s">
        <v>764</v>
      </c>
      <c r="D30" s="21">
        <v>1970</v>
      </c>
      <c r="E30" s="21" t="s">
        <v>29</v>
      </c>
      <c r="F30" s="21" t="s">
        <v>30</v>
      </c>
      <c r="G30" s="21" t="s">
        <v>815</v>
      </c>
      <c r="H30" s="21">
        <v>17309</v>
      </c>
    </row>
    <row r="31" spans="1:8">
      <c r="A31" s="21">
        <v>9417435</v>
      </c>
      <c r="B31" s="21" t="s">
        <v>27</v>
      </c>
      <c r="C31" s="21" t="s">
        <v>688</v>
      </c>
      <c r="D31" s="21">
        <v>1996</v>
      </c>
      <c r="E31" s="21" t="s">
        <v>29</v>
      </c>
      <c r="F31" s="21" t="s">
        <v>30</v>
      </c>
      <c r="G31" s="21" t="s">
        <v>815</v>
      </c>
      <c r="H31" s="21">
        <v>10758</v>
      </c>
    </row>
    <row r="32" spans="1:8">
      <c r="A32" s="21"/>
      <c r="B32" s="21" t="s">
        <v>702</v>
      </c>
      <c r="C32" s="21" t="s">
        <v>569</v>
      </c>
      <c r="D32" s="21">
        <v>1965</v>
      </c>
      <c r="E32" s="21" t="s">
        <v>369</v>
      </c>
      <c r="F32" s="21" t="s">
        <v>370</v>
      </c>
      <c r="G32" s="21" t="s">
        <v>310</v>
      </c>
      <c r="H32" s="21">
        <v>841014</v>
      </c>
    </row>
    <row r="33" spans="1:8">
      <c r="A33" s="21">
        <v>8270558</v>
      </c>
      <c r="B33" s="21" t="s">
        <v>766</v>
      </c>
      <c r="C33" s="21" t="s">
        <v>767</v>
      </c>
      <c r="D33" s="21">
        <v>1958</v>
      </c>
      <c r="E33" s="21" t="s">
        <v>116</v>
      </c>
      <c r="F33" s="21" t="s">
        <v>117</v>
      </c>
      <c r="G33" s="21" t="s">
        <v>815</v>
      </c>
      <c r="H33" s="21">
        <v>12646</v>
      </c>
    </row>
    <row r="34" spans="1:8">
      <c r="A34" s="21">
        <v>7005068</v>
      </c>
      <c r="B34" s="21" t="s">
        <v>434</v>
      </c>
      <c r="C34" s="21" t="s">
        <v>238</v>
      </c>
      <c r="D34" s="21">
        <v>1954</v>
      </c>
      <c r="E34" s="21" t="s">
        <v>172</v>
      </c>
      <c r="F34" s="21" t="s">
        <v>173</v>
      </c>
      <c r="G34" s="21" t="s">
        <v>422</v>
      </c>
      <c r="H34" s="21">
        <v>15297</v>
      </c>
    </row>
    <row r="35" spans="1:8">
      <c r="A35" s="21">
        <v>1780789</v>
      </c>
      <c r="B35" s="21" t="s">
        <v>308</v>
      </c>
      <c r="C35" s="21" t="s">
        <v>309</v>
      </c>
      <c r="D35" s="21">
        <v>1998</v>
      </c>
      <c r="E35" s="21" t="s">
        <v>8</v>
      </c>
      <c r="F35" s="21" t="s">
        <v>9</v>
      </c>
      <c r="G35" s="21" t="s">
        <v>300</v>
      </c>
      <c r="H35" s="21"/>
    </row>
    <row r="36" spans="1:8">
      <c r="A36" s="21">
        <v>8065200</v>
      </c>
      <c r="B36" s="21" t="s">
        <v>32</v>
      </c>
      <c r="C36" s="21" t="s">
        <v>33</v>
      </c>
      <c r="D36" s="21">
        <v>1970</v>
      </c>
      <c r="E36" s="21" t="s">
        <v>34</v>
      </c>
      <c r="F36" s="21" t="s">
        <v>35</v>
      </c>
      <c r="G36" s="21" t="s">
        <v>10</v>
      </c>
      <c r="H36" s="21">
        <v>10889</v>
      </c>
    </row>
    <row r="37" spans="1:8">
      <c r="A37" s="21"/>
      <c r="B37" s="21" t="s">
        <v>36</v>
      </c>
      <c r="C37" s="21" t="s">
        <v>37</v>
      </c>
      <c r="D37" s="21">
        <v>2002</v>
      </c>
      <c r="E37" s="21" t="s">
        <v>34</v>
      </c>
      <c r="F37" s="21" t="s">
        <v>35</v>
      </c>
      <c r="G37" s="21" t="s">
        <v>10</v>
      </c>
      <c r="H37" s="21">
        <v>28477</v>
      </c>
    </row>
    <row r="38" spans="1:8">
      <c r="A38" s="21"/>
      <c r="B38" s="21" t="s">
        <v>36</v>
      </c>
      <c r="C38" s="21" t="s">
        <v>408</v>
      </c>
      <c r="D38" s="21">
        <v>1965</v>
      </c>
      <c r="E38" s="21" t="s">
        <v>34</v>
      </c>
      <c r="F38" s="21" t="s">
        <v>35</v>
      </c>
      <c r="G38" s="21" t="s">
        <v>815</v>
      </c>
      <c r="H38" s="21">
        <v>30127</v>
      </c>
    </row>
    <row r="39" spans="1:8">
      <c r="A39" s="21">
        <v>8015116</v>
      </c>
      <c r="B39" s="21" t="s">
        <v>768</v>
      </c>
      <c r="C39" s="21" t="s">
        <v>515</v>
      </c>
      <c r="D39" s="21">
        <v>1963</v>
      </c>
      <c r="E39" s="21" t="s">
        <v>116</v>
      </c>
      <c r="F39" s="21" t="s">
        <v>117</v>
      </c>
      <c r="G39" s="21" t="s">
        <v>815</v>
      </c>
      <c r="H39" s="21">
        <v>31830</v>
      </c>
    </row>
    <row r="40" spans="1:8">
      <c r="A40" s="21">
        <v>8099048</v>
      </c>
      <c r="B40" s="21" t="s">
        <v>435</v>
      </c>
      <c r="C40" s="21" t="s">
        <v>436</v>
      </c>
      <c r="D40" s="21">
        <v>2009</v>
      </c>
      <c r="E40" s="21" t="s">
        <v>47</v>
      </c>
      <c r="F40" s="21" t="s">
        <v>48</v>
      </c>
      <c r="G40" s="21" t="s">
        <v>422</v>
      </c>
      <c r="H40" s="21">
        <v>40152</v>
      </c>
    </row>
    <row r="41" spans="1:8">
      <c r="A41" s="21">
        <v>8099090</v>
      </c>
      <c r="B41" s="21" t="s">
        <v>435</v>
      </c>
      <c r="C41" s="21" t="s">
        <v>437</v>
      </c>
      <c r="D41" s="21">
        <v>1964</v>
      </c>
      <c r="E41" s="21" t="s">
        <v>47</v>
      </c>
      <c r="F41" s="21" t="s">
        <v>48</v>
      </c>
      <c r="G41" s="21" t="s">
        <v>422</v>
      </c>
      <c r="H41" s="21">
        <v>40151</v>
      </c>
    </row>
    <row r="42" spans="1:8">
      <c r="A42" s="21">
        <v>8099072</v>
      </c>
      <c r="B42" s="21" t="s">
        <v>435</v>
      </c>
      <c r="C42" s="21" t="s">
        <v>438</v>
      </c>
      <c r="D42" s="21">
        <v>1992</v>
      </c>
      <c r="E42" s="21" t="s">
        <v>47</v>
      </c>
      <c r="F42" s="21" t="s">
        <v>48</v>
      </c>
      <c r="G42" s="21" t="s">
        <v>422</v>
      </c>
      <c r="H42" s="21">
        <v>40154</v>
      </c>
    </row>
    <row r="43" spans="1:8">
      <c r="A43" s="21">
        <v>8099080</v>
      </c>
      <c r="B43" s="21" t="s">
        <v>435</v>
      </c>
      <c r="C43" s="21" t="s">
        <v>235</v>
      </c>
      <c r="D43" s="21">
        <v>1962</v>
      </c>
      <c r="E43" s="21" t="s">
        <v>47</v>
      </c>
      <c r="F43" s="21" t="s">
        <v>48</v>
      </c>
      <c r="G43" s="21" t="s">
        <v>422</v>
      </c>
      <c r="H43" s="21">
        <v>40150</v>
      </c>
    </row>
    <row r="44" spans="1:8">
      <c r="A44" s="21"/>
      <c r="B44" s="21" t="s">
        <v>703</v>
      </c>
      <c r="C44" s="21" t="s">
        <v>589</v>
      </c>
      <c r="D44" s="21"/>
      <c r="E44" s="21" t="s">
        <v>704</v>
      </c>
      <c r="F44" s="21" t="s">
        <v>705</v>
      </c>
      <c r="G44" s="21" t="s">
        <v>310</v>
      </c>
      <c r="H44" s="21"/>
    </row>
    <row r="45" spans="1:8">
      <c r="A45" s="21">
        <v>8062811</v>
      </c>
      <c r="B45" s="21" t="s">
        <v>38</v>
      </c>
      <c r="C45" s="21" t="s">
        <v>39</v>
      </c>
      <c r="D45" s="21">
        <v>1995</v>
      </c>
      <c r="E45" s="21" t="s">
        <v>40</v>
      </c>
      <c r="F45" s="21" t="s">
        <v>41</v>
      </c>
      <c r="G45" s="21" t="s">
        <v>10</v>
      </c>
      <c r="H45" s="21">
        <v>42623</v>
      </c>
    </row>
    <row r="46" spans="1:8">
      <c r="A46" s="21">
        <v>8500434</v>
      </c>
      <c r="B46" s="21" t="s">
        <v>542</v>
      </c>
      <c r="C46" s="21" t="s">
        <v>543</v>
      </c>
      <c r="D46" s="21">
        <v>1979</v>
      </c>
      <c r="E46" s="21" t="s">
        <v>325</v>
      </c>
      <c r="F46" s="21" t="s">
        <v>326</v>
      </c>
      <c r="G46" s="21" t="s">
        <v>451</v>
      </c>
      <c r="H46" s="21">
        <v>42598</v>
      </c>
    </row>
    <row r="47" spans="1:8">
      <c r="A47" s="21">
        <v>8500492</v>
      </c>
      <c r="B47" s="21" t="s">
        <v>542</v>
      </c>
      <c r="C47" s="21" t="s">
        <v>629</v>
      </c>
      <c r="D47" s="21">
        <v>2008</v>
      </c>
      <c r="E47" s="21" t="s">
        <v>325</v>
      </c>
      <c r="F47" s="21" t="s">
        <v>326</v>
      </c>
      <c r="G47" s="21" t="s">
        <v>625</v>
      </c>
      <c r="H47" s="21">
        <v>42599</v>
      </c>
    </row>
    <row r="48" spans="1:8">
      <c r="A48" s="21"/>
      <c r="B48" s="21" t="s">
        <v>544</v>
      </c>
      <c r="C48" s="21" t="s">
        <v>545</v>
      </c>
      <c r="D48" s="21">
        <v>1997</v>
      </c>
      <c r="E48" s="21" t="s">
        <v>8</v>
      </c>
      <c r="F48" s="21" t="s">
        <v>9</v>
      </c>
      <c r="G48" s="21" t="s">
        <v>451</v>
      </c>
      <c r="H48" s="21"/>
    </row>
    <row r="49" spans="1:8">
      <c r="A49" s="21">
        <v>8100880</v>
      </c>
      <c r="B49" s="21" t="s">
        <v>42</v>
      </c>
      <c r="C49" s="21" t="s">
        <v>43</v>
      </c>
      <c r="D49" s="21">
        <v>1980</v>
      </c>
      <c r="E49" s="21" t="s">
        <v>25</v>
      </c>
      <c r="F49" s="21" t="s">
        <v>26</v>
      </c>
      <c r="G49" s="21" t="s">
        <v>10</v>
      </c>
      <c r="H49" s="21">
        <v>32593</v>
      </c>
    </row>
    <row r="50" spans="1:8">
      <c r="A50" s="21">
        <v>8131097</v>
      </c>
      <c r="B50" s="21" t="s">
        <v>44</v>
      </c>
      <c r="C50" s="21" t="s">
        <v>12</v>
      </c>
      <c r="D50" s="21">
        <v>1997</v>
      </c>
      <c r="E50" s="21" t="s">
        <v>13</v>
      </c>
      <c r="F50" s="21" t="s">
        <v>14</v>
      </c>
      <c r="G50" s="21" t="s">
        <v>10</v>
      </c>
      <c r="H50" s="21">
        <v>12776</v>
      </c>
    </row>
    <row r="51" spans="1:8">
      <c r="A51" s="21">
        <v>8050169</v>
      </c>
      <c r="B51" s="21" t="s">
        <v>44</v>
      </c>
      <c r="C51" s="21" t="s">
        <v>110</v>
      </c>
      <c r="D51" s="21">
        <v>1969</v>
      </c>
      <c r="E51" s="21" t="s">
        <v>13</v>
      </c>
      <c r="F51" s="21" t="s">
        <v>14</v>
      </c>
      <c r="G51" s="21" t="s">
        <v>422</v>
      </c>
      <c r="H51" s="21">
        <v>1396</v>
      </c>
    </row>
    <row r="52" spans="1:8">
      <c r="A52" s="21">
        <v>256554</v>
      </c>
      <c r="B52" s="21" t="s">
        <v>630</v>
      </c>
      <c r="C52" s="21" t="s">
        <v>631</v>
      </c>
      <c r="D52" s="21">
        <v>1995</v>
      </c>
      <c r="E52" s="21" t="s">
        <v>8</v>
      </c>
      <c r="F52" s="21" t="s">
        <v>9</v>
      </c>
      <c r="G52" s="21" t="s">
        <v>625</v>
      </c>
      <c r="H52" s="21"/>
    </row>
    <row r="53" spans="1:8">
      <c r="A53" s="21"/>
      <c r="B53" s="21" t="s">
        <v>632</v>
      </c>
      <c r="C53" s="21" t="s">
        <v>633</v>
      </c>
      <c r="D53" s="21">
        <v>1990</v>
      </c>
      <c r="E53" s="21" t="s">
        <v>8</v>
      </c>
      <c r="F53" s="21" t="s">
        <v>9</v>
      </c>
      <c r="G53" s="21" t="s">
        <v>625</v>
      </c>
      <c r="H53" s="21"/>
    </row>
    <row r="54" spans="1:8">
      <c r="A54" s="21">
        <v>1999073</v>
      </c>
      <c r="B54" s="21" t="s">
        <v>311</v>
      </c>
      <c r="C54" s="21" t="s">
        <v>312</v>
      </c>
      <c r="D54" s="21">
        <v>2008</v>
      </c>
      <c r="E54" s="21" t="s">
        <v>29</v>
      </c>
      <c r="F54" s="21" t="s">
        <v>30</v>
      </c>
      <c r="G54" s="21" t="s">
        <v>300</v>
      </c>
      <c r="H54" s="21">
        <v>34968</v>
      </c>
    </row>
    <row r="55" spans="1:8">
      <c r="A55" s="21">
        <v>7890987</v>
      </c>
      <c r="B55" s="21" t="s">
        <v>311</v>
      </c>
      <c r="C55" s="21" t="s">
        <v>178</v>
      </c>
      <c r="D55" s="21">
        <v>1975</v>
      </c>
      <c r="E55" s="21" t="s">
        <v>29</v>
      </c>
      <c r="F55" s="21" t="s">
        <v>30</v>
      </c>
      <c r="G55" s="21" t="s">
        <v>300</v>
      </c>
      <c r="H55" s="21">
        <v>11531</v>
      </c>
    </row>
    <row r="56" spans="1:8">
      <c r="A56" s="21">
        <v>1999071</v>
      </c>
      <c r="B56" s="21" t="s">
        <v>311</v>
      </c>
      <c r="C56" s="21" t="s">
        <v>706</v>
      </c>
      <c r="D56" s="21">
        <v>2012</v>
      </c>
      <c r="E56" s="21" t="s">
        <v>29</v>
      </c>
      <c r="F56" s="21" t="s">
        <v>30</v>
      </c>
      <c r="G56" s="21" t="s">
        <v>310</v>
      </c>
      <c r="H56" s="21">
        <v>41327</v>
      </c>
    </row>
    <row r="57" spans="1:8">
      <c r="A57" s="21"/>
      <c r="B57" s="21" t="s">
        <v>546</v>
      </c>
      <c r="C57" s="21" t="s">
        <v>24</v>
      </c>
      <c r="D57" s="21">
        <v>1980</v>
      </c>
      <c r="E57" s="21" t="s">
        <v>8</v>
      </c>
      <c r="F57" s="21" t="s">
        <v>9</v>
      </c>
      <c r="G57" s="21" t="s">
        <v>451</v>
      </c>
      <c r="H57" s="21"/>
    </row>
    <row r="58" spans="1:8">
      <c r="A58" s="21">
        <v>8002209</v>
      </c>
      <c r="B58" s="21" t="s">
        <v>45</v>
      </c>
      <c r="C58" s="21" t="s">
        <v>46</v>
      </c>
      <c r="D58" s="21">
        <v>2007</v>
      </c>
      <c r="E58" s="21" t="s">
        <v>47</v>
      </c>
      <c r="F58" s="21" t="s">
        <v>48</v>
      </c>
      <c r="G58" s="21" t="s">
        <v>10</v>
      </c>
      <c r="H58" s="21">
        <v>38485</v>
      </c>
    </row>
    <row r="59" spans="1:8">
      <c r="A59" s="21">
        <v>8000186</v>
      </c>
      <c r="B59" s="21" t="s">
        <v>45</v>
      </c>
      <c r="C59" s="21" t="s">
        <v>237</v>
      </c>
      <c r="D59" s="21">
        <v>1977</v>
      </c>
      <c r="E59" s="21" t="s">
        <v>47</v>
      </c>
      <c r="F59" s="21" t="s">
        <v>48</v>
      </c>
      <c r="G59" s="21" t="s">
        <v>422</v>
      </c>
      <c r="H59" s="21">
        <v>39959</v>
      </c>
    </row>
    <row r="60" spans="1:8">
      <c r="A60" s="21">
        <v>8217797</v>
      </c>
      <c r="B60" s="21" t="s">
        <v>313</v>
      </c>
      <c r="C60" s="21" t="s">
        <v>314</v>
      </c>
      <c r="D60" s="21">
        <v>2007</v>
      </c>
      <c r="E60" s="21" t="s">
        <v>8</v>
      </c>
      <c r="F60" s="21" t="s">
        <v>9</v>
      </c>
      <c r="G60" s="21" t="s">
        <v>300</v>
      </c>
      <c r="H60" s="21"/>
    </row>
    <row r="61" spans="1:8">
      <c r="A61" s="21">
        <v>8311220</v>
      </c>
      <c r="B61" s="21" t="s">
        <v>313</v>
      </c>
      <c r="C61" s="21" t="s">
        <v>390</v>
      </c>
      <c r="D61" s="21">
        <v>1973</v>
      </c>
      <c r="E61" s="21" t="s">
        <v>8</v>
      </c>
      <c r="F61" s="21" t="s">
        <v>9</v>
      </c>
      <c r="G61" s="21" t="s">
        <v>422</v>
      </c>
      <c r="H61" s="21"/>
    </row>
    <row r="62" spans="1:8">
      <c r="A62" s="21">
        <v>8217911</v>
      </c>
      <c r="B62" s="21" t="s">
        <v>313</v>
      </c>
      <c r="C62" s="21" t="s">
        <v>547</v>
      </c>
      <c r="D62" s="21">
        <v>2009</v>
      </c>
      <c r="E62" s="21" t="s">
        <v>8</v>
      </c>
      <c r="F62" s="21" t="s">
        <v>9</v>
      </c>
      <c r="G62" s="21" t="s">
        <v>451</v>
      </c>
      <c r="H62" s="21"/>
    </row>
    <row r="63" spans="1:8">
      <c r="A63" s="21">
        <v>9520423</v>
      </c>
      <c r="B63" s="21" t="s">
        <v>634</v>
      </c>
      <c r="C63" s="21" t="s">
        <v>635</v>
      </c>
      <c r="D63" s="21">
        <v>1952</v>
      </c>
      <c r="E63" s="21" t="s">
        <v>325</v>
      </c>
      <c r="F63" s="21" t="s">
        <v>326</v>
      </c>
      <c r="G63" s="21" t="s">
        <v>625</v>
      </c>
      <c r="H63" s="21">
        <v>8761</v>
      </c>
    </row>
    <row r="64" spans="1:8">
      <c r="A64" s="21">
        <v>8217852</v>
      </c>
      <c r="B64" s="21" t="s">
        <v>439</v>
      </c>
      <c r="C64" s="21" t="s">
        <v>440</v>
      </c>
      <c r="D64" s="21">
        <v>2009</v>
      </c>
      <c r="E64" s="21" t="s">
        <v>8</v>
      </c>
      <c r="F64" s="21" t="s">
        <v>9</v>
      </c>
      <c r="G64" s="21" t="s">
        <v>422</v>
      </c>
      <c r="H64" s="21"/>
    </row>
    <row r="65" spans="1:8">
      <c r="A65" s="21">
        <v>8217850</v>
      </c>
      <c r="B65" s="21" t="s">
        <v>315</v>
      </c>
      <c r="C65" s="21" t="s">
        <v>316</v>
      </c>
      <c r="D65" s="21">
        <v>2007</v>
      </c>
      <c r="E65" s="21" t="s">
        <v>8</v>
      </c>
      <c r="F65" s="21" t="s">
        <v>9</v>
      </c>
      <c r="G65" s="21" t="s">
        <v>300</v>
      </c>
      <c r="H65" s="21"/>
    </row>
    <row r="66" spans="1:8">
      <c r="A66" s="21">
        <v>8171799</v>
      </c>
      <c r="B66" s="21" t="s">
        <v>49</v>
      </c>
      <c r="C66" s="21" t="s">
        <v>50</v>
      </c>
      <c r="D66" s="21">
        <v>1974</v>
      </c>
      <c r="E66" s="21" t="s">
        <v>51</v>
      </c>
      <c r="F66" s="21" t="s">
        <v>52</v>
      </c>
      <c r="G66" s="21" t="s">
        <v>10</v>
      </c>
      <c r="H66" s="21">
        <v>28424</v>
      </c>
    </row>
    <row r="67" spans="1:8">
      <c r="A67" s="21">
        <v>228472</v>
      </c>
      <c r="B67" s="21" t="s">
        <v>707</v>
      </c>
      <c r="C67" s="21" t="s">
        <v>676</v>
      </c>
      <c r="D67" s="21">
        <v>1980</v>
      </c>
      <c r="E67" s="21" t="s">
        <v>29</v>
      </c>
      <c r="F67" s="21" t="s">
        <v>30</v>
      </c>
      <c r="G67" s="21" t="s">
        <v>310</v>
      </c>
      <c r="H67" s="21">
        <v>42896</v>
      </c>
    </row>
    <row r="68" spans="1:8">
      <c r="A68" s="21">
        <v>1020702</v>
      </c>
      <c r="B68" s="21" t="s">
        <v>441</v>
      </c>
      <c r="C68" s="21" t="s">
        <v>104</v>
      </c>
      <c r="D68" s="21">
        <v>1980</v>
      </c>
      <c r="E68" s="21" t="s">
        <v>383</v>
      </c>
      <c r="F68" s="21" t="s">
        <v>384</v>
      </c>
      <c r="G68" s="21" t="s">
        <v>422</v>
      </c>
      <c r="H68" s="21">
        <v>41499</v>
      </c>
    </row>
    <row r="69" spans="1:8">
      <c r="A69" s="21">
        <v>8002145</v>
      </c>
      <c r="B69" s="21" t="s">
        <v>548</v>
      </c>
      <c r="C69" s="21" t="s">
        <v>549</v>
      </c>
      <c r="D69" s="21">
        <v>2006</v>
      </c>
      <c r="E69" s="21" t="s">
        <v>25</v>
      </c>
      <c r="F69" s="21" t="s">
        <v>26</v>
      </c>
      <c r="G69" s="21" t="s">
        <v>451</v>
      </c>
      <c r="H69" s="21">
        <v>38663</v>
      </c>
    </row>
    <row r="70" spans="1:8">
      <c r="A70" s="21">
        <v>8009946</v>
      </c>
      <c r="B70" s="21" t="s">
        <v>317</v>
      </c>
      <c r="C70" s="21" t="s">
        <v>318</v>
      </c>
      <c r="D70" s="21">
        <v>2005</v>
      </c>
      <c r="E70" s="21" t="s">
        <v>106</v>
      </c>
      <c r="F70" s="21" t="s">
        <v>107</v>
      </c>
      <c r="G70" s="21" t="s">
        <v>300</v>
      </c>
      <c r="H70" s="21">
        <v>38128</v>
      </c>
    </row>
    <row r="71" spans="1:8">
      <c r="A71" s="21">
        <v>8099006</v>
      </c>
      <c r="B71" s="21" t="s">
        <v>636</v>
      </c>
      <c r="C71" s="21" t="s">
        <v>637</v>
      </c>
      <c r="D71" s="21">
        <v>1964</v>
      </c>
      <c r="E71" s="21" t="s">
        <v>34</v>
      </c>
      <c r="F71" s="21" t="s">
        <v>35</v>
      </c>
      <c r="G71" s="21" t="s">
        <v>625</v>
      </c>
      <c r="H71" s="21">
        <v>22314</v>
      </c>
    </row>
    <row r="72" spans="1:8">
      <c r="A72" s="21">
        <v>7575007</v>
      </c>
      <c r="B72" s="21" t="s">
        <v>53</v>
      </c>
      <c r="C72" s="21" t="s">
        <v>54</v>
      </c>
      <c r="D72" s="21">
        <v>1992</v>
      </c>
      <c r="E72" s="21" t="s">
        <v>55</v>
      </c>
      <c r="F72" s="21" t="s">
        <v>56</v>
      </c>
      <c r="G72" s="21" t="s">
        <v>10</v>
      </c>
      <c r="H72" s="21">
        <v>26790</v>
      </c>
    </row>
    <row r="73" spans="1:8">
      <c r="A73" s="21">
        <v>8270880</v>
      </c>
      <c r="B73" s="21" t="s">
        <v>769</v>
      </c>
      <c r="C73" s="21" t="s">
        <v>770</v>
      </c>
      <c r="D73" s="21">
        <v>1980</v>
      </c>
      <c r="E73" s="21" t="s">
        <v>25</v>
      </c>
      <c r="F73" s="21" t="s">
        <v>26</v>
      </c>
      <c r="G73" s="21" t="s">
        <v>815</v>
      </c>
      <c r="H73" s="21">
        <v>21140</v>
      </c>
    </row>
    <row r="74" spans="1:8">
      <c r="A74" s="21"/>
      <c r="B74" s="21" t="s">
        <v>57</v>
      </c>
      <c r="C74" s="21" t="s">
        <v>58</v>
      </c>
      <c r="D74" s="21">
        <v>1986</v>
      </c>
      <c r="E74" s="21" t="s">
        <v>8</v>
      </c>
      <c r="F74" s="21" t="s">
        <v>9</v>
      </c>
      <c r="G74" s="21" t="s">
        <v>10</v>
      </c>
      <c r="H74" s="21"/>
    </row>
    <row r="75" spans="1:8">
      <c r="A75" s="21">
        <v>2170570</v>
      </c>
      <c r="B75" s="21" t="s">
        <v>442</v>
      </c>
      <c r="C75" s="21" t="s">
        <v>443</v>
      </c>
      <c r="D75" s="21">
        <v>1969</v>
      </c>
      <c r="E75" s="21" t="s">
        <v>8</v>
      </c>
      <c r="F75" s="21" t="s">
        <v>9</v>
      </c>
      <c r="G75" s="21" t="s">
        <v>422</v>
      </c>
      <c r="H75" s="21"/>
    </row>
    <row r="76" spans="1:8">
      <c r="A76" s="21">
        <v>2175099</v>
      </c>
      <c r="B76" s="21" t="s">
        <v>442</v>
      </c>
      <c r="C76" s="21" t="s">
        <v>550</v>
      </c>
      <c r="D76" s="21">
        <v>2009</v>
      </c>
      <c r="E76" s="21" t="s">
        <v>8</v>
      </c>
      <c r="F76" s="21" t="s">
        <v>9</v>
      </c>
      <c r="G76" s="21" t="s">
        <v>451</v>
      </c>
      <c r="H76" s="21"/>
    </row>
    <row r="77" spans="1:8">
      <c r="A77" s="21">
        <v>2170587</v>
      </c>
      <c r="B77" s="21" t="s">
        <v>442</v>
      </c>
      <c r="C77" s="21" t="s">
        <v>551</v>
      </c>
      <c r="D77" s="21">
        <v>2007</v>
      </c>
      <c r="E77" s="21" t="s">
        <v>8</v>
      </c>
      <c r="F77" s="21" t="s">
        <v>9</v>
      </c>
      <c r="G77" s="21" t="s">
        <v>451</v>
      </c>
      <c r="H77" s="21"/>
    </row>
    <row r="78" spans="1:8">
      <c r="A78" s="21">
        <v>7005901</v>
      </c>
      <c r="B78" s="21" t="s">
        <v>59</v>
      </c>
      <c r="C78" s="21" t="s">
        <v>60</v>
      </c>
      <c r="D78" s="21">
        <v>1996</v>
      </c>
      <c r="E78" s="21" t="s">
        <v>61</v>
      </c>
      <c r="F78" s="21" t="s">
        <v>62</v>
      </c>
      <c r="G78" s="21" t="s">
        <v>10</v>
      </c>
      <c r="H78" s="21">
        <v>24859</v>
      </c>
    </row>
    <row r="79" spans="1:8">
      <c r="A79" s="21">
        <v>8077819</v>
      </c>
      <c r="B79" s="21" t="s">
        <v>771</v>
      </c>
      <c r="C79" s="21" t="s">
        <v>772</v>
      </c>
      <c r="D79" s="21">
        <v>1995</v>
      </c>
      <c r="E79" s="21" t="s">
        <v>34</v>
      </c>
      <c r="F79" s="21" t="s">
        <v>35</v>
      </c>
      <c r="G79" s="21" t="s">
        <v>815</v>
      </c>
      <c r="H79" s="21">
        <v>8551</v>
      </c>
    </row>
    <row r="80" spans="1:8">
      <c r="A80" s="21"/>
      <c r="B80" s="21" t="s">
        <v>444</v>
      </c>
      <c r="C80" s="21" t="s">
        <v>445</v>
      </c>
      <c r="D80" s="21">
        <v>1994</v>
      </c>
      <c r="E80" s="21" t="s">
        <v>8</v>
      </c>
      <c r="F80" s="21" t="s">
        <v>9</v>
      </c>
      <c r="G80" s="21" t="s">
        <v>422</v>
      </c>
      <c r="H80" s="21"/>
    </row>
    <row r="81" spans="1:8">
      <c r="A81" s="21"/>
      <c r="B81" s="21" t="s">
        <v>319</v>
      </c>
      <c r="C81" s="21" t="s">
        <v>320</v>
      </c>
      <c r="D81" s="21">
        <v>1978</v>
      </c>
      <c r="E81" s="21" t="s">
        <v>8</v>
      </c>
      <c r="F81" s="21" t="s">
        <v>9</v>
      </c>
      <c r="G81" s="21" t="s">
        <v>300</v>
      </c>
      <c r="H81" s="21"/>
    </row>
    <row r="82" spans="1:8">
      <c r="A82" s="21">
        <v>8072809</v>
      </c>
      <c r="B82" s="21" t="s">
        <v>321</v>
      </c>
      <c r="C82" s="21" t="s">
        <v>322</v>
      </c>
      <c r="D82" s="21">
        <v>2007</v>
      </c>
      <c r="E82" s="21" t="s">
        <v>116</v>
      </c>
      <c r="F82" s="21" t="s">
        <v>117</v>
      </c>
      <c r="G82" s="21" t="s">
        <v>300</v>
      </c>
      <c r="H82" s="21">
        <v>40039</v>
      </c>
    </row>
    <row r="83" spans="1:8">
      <c r="A83" s="21">
        <v>8890305</v>
      </c>
      <c r="B83" s="21" t="s">
        <v>323</v>
      </c>
      <c r="C83" s="21" t="s">
        <v>324</v>
      </c>
      <c r="D83" s="21">
        <v>1969</v>
      </c>
      <c r="E83" s="21" t="s">
        <v>325</v>
      </c>
      <c r="F83" s="21" t="s">
        <v>326</v>
      </c>
      <c r="G83" s="21" t="s">
        <v>300</v>
      </c>
      <c r="H83" s="21">
        <v>20044</v>
      </c>
    </row>
    <row r="84" spans="1:8">
      <c r="A84" s="21">
        <v>8018615</v>
      </c>
      <c r="B84" s="21" t="s">
        <v>552</v>
      </c>
      <c r="C84" s="21" t="s">
        <v>553</v>
      </c>
      <c r="D84" s="21">
        <v>1975</v>
      </c>
      <c r="E84" s="21" t="s">
        <v>189</v>
      </c>
      <c r="F84" s="21" t="s">
        <v>190</v>
      </c>
      <c r="G84" s="21" t="s">
        <v>451</v>
      </c>
      <c r="H84" s="21">
        <v>18615</v>
      </c>
    </row>
    <row r="85" spans="1:8">
      <c r="A85" s="21">
        <v>8101190</v>
      </c>
      <c r="B85" s="21" t="s">
        <v>552</v>
      </c>
      <c r="C85" s="21" t="s">
        <v>627</v>
      </c>
      <c r="D85" s="21">
        <v>2009</v>
      </c>
      <c r="E85" s="21" t="s">
        <v>266</v>
      </c>
      <c r="F85" s="21" t="s">
        <v>267</v>
      </c>
      <c r="G85" s="21" t="s">
        <v>310</v>
      </c>
      <c r="H85" s="21">
        <v>38415</v>
      </c>
    </row>
    <row r="86" spans="1:8">
      <c r="A86" s="21">
        <v>1999060</v>
      </c>
      <c r="B86" s="21" t="s">
        <v>552</v>
      </c>
      <c r="C86" s="21" t="s">
        <v>753</v>
      </c>
      <c r="D86" s="21">
        <v>2014</v>
      </c>
      <c r="E86" s="21" t="s">
        <v>266</v>
      </c>
      <c r="F86" s="21" t="s">
        <v>267</v>
      </c>
      <c r="G86" s="21" t="s">
        <v>752</v>
      </c>
      <c r="H86" s="21">
        <v>41016</v>
      </c>
    </row>
    <row r="87" spans="1:8">
      <c r="A87" s="21"/>
      <c r="B87" s="21" t="s">
        <v>554</v>
      </c>
      <c r="C87" s="21" t="s">
        <v>555</v>
      </c>
      <c r="D87" s="21">
        <v>1981</v>
      </c>
      <c r="E87" s="21" t="s">
        <v>8</v>
      </c>
      <c r="F87" s="21" t="s">
        <v>9</v>
      </c>
      <c r="G87" s="21" t="s">
        <v>451</v>
      </c>
      <c r="H87" s="21"/>
    </row>
    <row r="88" spans="1:8">
      <c r="A88" s="21"/>
      <c r="B88" s="21" t="s">
        <v>554</v>
      </c>
      <c r="C88" s="21" t="s">
        <v>263</v>
      </c>
      <c r="D88" s="21">
        <v>1977</v>
      </c>
      <c r="E88" s="21" t="s">
        <v>8</v>
      </c>
      <c r="F88" s="21" t="s">
        <v>9</v>
      </c>
      <c r="G88" s="21" t="s">
        <v>451</v>
      </c>
      <c r="H88" s="21"/>
    </row>
    <row r="89" spans="1:8">
      <c r="A89" s="21">
        <v>2158022</v>
      </c>
      <c r="B89" s="21" t="s">
        <v>754</v>
      </c>
      <c r="C89" s="21" t="s">
        <v>458</v>
      </c>
      <c r="D89" s="21">
        <v>2014</v>
      </c>
      <c r="E89" s="21" t="s">
        <v>47</v>
      </c>
      <c r="F89" s="21" t="s">
        <v>48</v>
      </c>
      <c r="G89" s="21" t="s">
        <v>752</v>
      </c>
      <c r="H89" s="21">
        <v>45961</v>
      </c>
    </row>
    <row r="90" spans="1:8">
      <c r="A90" s="21">
        <v>8051162</v>
      </c>
      <c r="B90" s="21" t="s">
        <v>327</v>
      </c>
      <c r="C90" s="21" t="s">
        <v>33</v>
      </c>
      <c r="D90" s="21">
        <v>1958</v>
      </c>
      <c r="E90" s="21" t="s">
        <v>116</v>
      </c>
      <c r="F90" s="21" t="s">
        <v>117</v>
      </c>
      <c r="G90" s="21" t="s">
        <v>300</v>
      </c>
      <c r="H90" s="21">
        <v>13671</v>
      </c>
    </row>
    <row r="91" spans="1:8">
      <c r="A91" s="21">
        <v>8217758</v>
      </c>
      <c r="B91" s="21" t="s">
        <v>556</v>
      </c>
      <c r="C91" s="21" t="s">
        <v>557</v>
      </c>
      <c r="D91" s="21">
        <v>1972</v>
      </c>
      <c r="E91" s="21" t="s">
        <v>8</v>
      </c>
      <c r="F91" s="21" t="s">
        <v>9</v>
      </c>
      <c r="G91" s="21" t="s">
        <v>451</v>
      </c>
      <c r="H91" s="21"/>
    </row>
    <row r="92" spans="1:8">
      <c r="A92" s="21">
        <v>7921111</v>
      </c>
      <c r="B92" s="21" t="s">
        <v>63</v>
      </c>
      <c r="C92" s="21" t="s">
        <v>64</v>
      </c>
      <c r="D92" s="21">
        <v>1980</v>
      </c>
      <c r="E92" s="21" t="s">
        <v>65</v>
      </c>
      <c r="F92" s="21" t="s">
        <v>66</v>
      </c>
      <c r="G92" s="21" t="s">
        <v>10</v>
      </c>
      <c r="H92" s="21">
        <v>37825</v>
      </c>
    </row>
    <row r="93" spans="1:8">
      <c r="A93" s="21"/>
      <c r="B93" s="21" t="s">
        <v>63</v>
      </c>
      <c r="C93" s="21" t="s">
        <v>638</v>
      </c>
      <c r="D93" s="21"/>
      <c r="E93" s="21" t="s">
        <v>8</v>
      </c>
      <c r="F93" s="21" t="s">
        <v>9</v>
      </c>
      <c r="G93" s="21" t="s">
        <v>625</v>
      </c>
      <c r="H93" s="21"/>
    </row>
    <row r="94" spans="1:8">
      <c r="A94" s="21">
        <v>1620501</v>
      </c>
      <c r="B94" s="21" t="s">
        <v>67</v>
      </c>
      <c r="C94" s="21" t="s">
        <v>68</v>
      </c>
      <c r="D94" s="21">
        <v>1973</v>
      </c>
      <c r="E94" s="21" t="s">
        <v>69</v>
      </c>
      <c r="F94" s="21" t="s">
        <v>70</v>
      </c>
      <c r="G94" s="21" t="s">
        <v>10</v>
      </c>
      <c r="H94" s="21">
        <v>13271</v>
      </c>
    </row>
    <row r="95" spans="1:8">
      <c r="A95" s="21">
        <v>8001949</v>
      </c>
      <c r="B95" s="21" t="s">
        <v>71</v>
      </c>
      <c r="C95" s="21" t="s">
        <v>72</v>
      </c>
      <c r="D95" s="21">
        <v>1975</v>
      </c>
      <c r="E95" s="21" t="s">
        <v>34</v>
      </c>
      <c r="F95" s="21" t="s">
        <v>35</v>
      </c>
      <c r="G95" s="21" t="s">
        <v>10</v>
      </c>
      <c r="H95" s="21">
        <v>19344</v>
      </c>
    </row>
    <row r="96" spans="1:8">
      <c r="A96" s="21">
        <v>8031994</v>
      </c>
      <c r="B96" s="21" t="s">
        <v>328</v>
      </c>
      <c r="C96" s="21" t="s">
        <v>329</v>
      </c>
      <c r="D96" s="21">
        <v>1970</v>
      </c>
      <c r="E96" s="21" t="s">
        <v>8</v>
      </c>
      <c r="F96" s="21" t="s">
        <v>9</v>
      </c>
      <c r="G96" s="21" t="s">
        <v>300</v>
      </c>
      <c r="H96" s="21"/>
    </row>
    <row r="97" spans="1:8">
      <c r="A97" s="21">
        <v>8110609</v>
      </c>
      <c r="B97" s="21" t="s">
        <v>73</v>
      </c>
      <c r="C97" s="21" t="s">
        <v>74</v>
      </c>
      <c r="D97" s="21">
        <v>1975</v>
      </c>
      <c r="E97" s="21" t="s">
        <v>75</v>
      </c>
      <c r="F97" s="21" t="s">
        <v>76</v>
      </c>
      <c r="G97" s="21" t="s">
        <v>10</v>
      </c>
      <c r="H97" s="21">
        <v>12916</v>
      </c>
    </row>
    <row r="98" spans="1:8">
      <c r="A98" s="21">
        <v>7211836</v>
      </c>
      <c r="B98" s="21" t="s">
        <v>330</v>
      </c>
      <c r="C98" s="21" t="s">
        <v>159</v>
      </c>
      <c r="D98" s="21">
        <v>1963</v>
      </c>
      <c r="E98" s="21" t="s">
        <v>8</v>
      </c>
      <c r="F98" s="21" t="s">
        <v>9</v>
      </c>
      <c r="G98" s="21" t="s">
        <v>300</v>
      </c>
      <c r="H98" s="21"/>
    </row>
    <row r="99" spans="1:8">
      <c r="A99" s="21">
        <v>1677073</v>
      </c>
      <c r="B99" s="21" t="s">
        <v>639</v>
      </c>
      <c r="C99" s="21" t="s">
        <v>640</v>
      </c>
      <c r="D99" s="21">
        <v>1997</v>
      </c>
      <c r="E99" s="21" t="s">
        <v>89</v>
      </c>
      <c r="F99" s="21" t="s">
        <v>90</v>
      </c>
      <c r="G99" s="21" t="s">
        <v>625</v>
      </c>
      <c r="H99" s="21">
        <v>12758</v>
      </c>
    </row>
    <row r="100" spans="1:8">
      <c r="A100" s="21">
        <v>1770766</v>
      </c>
      <c r="B100" s="21" t="s">
        <v>639</v>
      </c>
      <c r="C100" s="21" t="s">
        <v>641</v>
      </c>
      <c r="D100" s="21">
        <v>1966</v>
      </c>
      <c r="E100" s="21" t="s">
        <v>89</v>
      </c>
      <c r="F100" s="21" t="s">
        <v>90</v>
      </c>
      <c r="G100" s="21" t="s">
        <v>625</v>
      </c>
      <c r="H100" s="21">
        <v>878</v>
      </c>
    </row>
    <row r="101" spans="1:8">
      <c r="A101" s="21">
        <v>8071977</v>
      </c>
      <c r="B101" s="21" t="s">
        <v>77</v>
      </c>
      <c r="C101" s="21" t="s">
        <v>78</v>
      </c>
      <c r="D101" s="21">
        <v>1977</v>
      </c>
      <c r="E101" s="21" t="s">
        <v>25</v>
      </c>
      <c r="F101" s="21" t="s">
        <v>26</v>
      </c>
      <c r="G101" s="21" t="s">
        <v>10</v>
      </c>
      <c r="H101" s="21">
        <v>34441</v>
      </c>
    </row>
    <row r="102" spans="1:8">
      <c r="A102" s="21">
        <v>8383240</v>
      </c>
      <c r="B102" s="21" t="s">
        <v>79</v>
      </c>
      <c r="C102" s="21" t="s">
        <v>80</v>
      </c>
      <c r="D102" s="21">
        <v>2005</v>
      </c>
      <c r="E102" s="21" t="s">
        <v>8</v>
      </c>
      <c r="F102" s="21" t="s">
        <v>9</v>
      </c>
      <c r="G102" s="21" t="s">
        <v>10</v>
      </c>
      <c r="H102" s="21"/>
    </row>
    <row r="103" spans="1:8">
      <c r="A103" s="21">
        <v>8131977</v>
      </c>
      <c r="B103" s="21" t="s">
        <v>331</v>
      </c>
      <c r="C103" s="21" t="s">
        <v>332</v>
      </c>
      <c r="D103" s="21">
        <v>1977</v>
      </c>
      <c r="E103" s="21" t="s">
        <v>55</v>
      </c>
      <c r="F103" s="21" t="s">
        <v>56</v>
      </c>
      <c r="G103" s="21" t="s">
        <v>300</v>
      </c>
      <c r="H103" s="21">
        <v>33181</v>
      </c>
    </row>
    <row r="104" spans="1:8">
      <c r="A104" s="21">
        <v>8015192</v>
      </c>
      <c r="B104" s="21" t="s">
        <v>81</v>
      </c>
      <c r="C104" s="21" t="s">
        <v>82</v>
      </c>
      <c r="D104" s="21">
        <v>1978</v>
      </c>
      <c r="E104" s="21" t="s">
        <v>8</v>
      </c>
      <c r="F104" s="21" t="s">
        <v>9</v>
      </c>
      <c r="G104" s="21" t="s">
        <v>10</v>
      </c>
      <c r="H104" s="21"/>
    </row>
    <row r="105" spans="1:8">
      <c r="A105" s="21">
        <v>8281070</v>
      </c>
      <c r="B105" s="21" t="s">
        <v>446</v>
      </c>
      <c r="C105" s="21" t="s">
        <v>118</v>
      </c>
      <c r="D105" s="21">
        <v>1970</v>
      </c>
      <c r="E105" s="21" t="s">
        <v>8</v>
      </c>
      <c r="F105" s="21" t="s">
        <v>9</v>
      </c>
      <c r="G105" s="21" t="s">
        <v>422</v>
      </c>
      <c r="H105" s="21"/>
    </row>
    <row r="106" spans="1:8">
      <c r="A106" s="21"/>
      <c r="B106" s="21" t="s">
        <v>447</v>
      </c>
      <c r="C106" s="21" t="s">
        <v>129</v>
      </c>
      <c r="D106" s="21">
        <v>1985</v>
      </c>
      <c r="E106" s="21" t="s">
        <v>8</v>
      </c>
      <c r="F106" s="21" t="s">
        <v>9</v>
      </c>
      <c r="G106" s="21" t="s">
        <v>422</v>
      </c>
      <c r="H106" s="21"/>
    </row>
    <row r="107" spans="1:8">
      <c r="A107" s="21">
        <v>1794448</v>
      </c>
      <c r="B107" s="21" t="s">
        <v>333</v>
      </c>
      <c r="C107" s="21" t="s">
        <v>320</v>
      </c>
      <c r="D107" s="21">
        <v>1989</v>
      </c>
      <c r="E107" s="21" t="s">
        <v>8</v>
      </c>
      <c r="F107" s="21" t="s">
        <v>9</v>
      </c>
      <c r="G107" s="21" t="s">
        <v>300</v>
      </c>
      <c r="H107" s="21"/>
    </row>
    <row r="108" spans="1:8">
      <c r="A108" s="21">
        <v>8008963</v>
      </c>
      <c r="B108" s="21" t="s">
        <v>83</v>
      </c>
      <c r="C108" s="21" t="s">
        <v>84</v>
      </c>
      <c r="D108" s="21">
        <v>1989</v>
      </c>
      <c r="E108" s="21" t="s">
        <v>85</v>
      </c>
      <c r="F108" s="21" t="s">
        <v>86</v>
      </c>
      <c r="G108" s="21" t="s">
        <v>10</v>
      </c>
      <c r="H108" s="21">
        <v>36696</v>
      </c>
    </row>
    <row r="109" spans="1:8">
      <c r="A109" s="21">
        <v>8655043</v>
      </c>
      <c r="B109" s="21" t="s">
        <v>334</v>
      </c>
      <c r="C109" s="21" t="s">
        <v>335</v>
      </c>
      <c r="D109" s="21">
        <v>1999</v>
      </c>
      <c r="E109" s="21" t="s">
        <v>156</v>
      </c>
      <c r="F109" s="21" t="s">
        <v>157</v>
      </c>
      <c r="G109" s="21" t="s">
        <v>300</v>
      </c>
      <c r="H109" s="21">
        <v>36478</v>
      </c>
    </row>
    <row r="110" spans="1:8">
      <c r="A110" s="21">
        <v>8009742</v>
      </c>
      <c r="B110" s="21" t="s">
        <v>336</v>
      </c>
      <c r="C110" s="21" t="s">
        <v>138</v>
      </c>
      <c r="D110" s="21">
        <v>1971</v>
      </c>
      <c r="E110" s="21" t="s">
        <v>89</v>
      </c>
      <c r="F110" s="21" t="s">
        <v>90</v>
      </c>
      <c r="G110" s="21" t="s">
        <v>300</v>
      </c>
      <c r="H110" s="21">
        <v>1974</v>
      </c>
    </row>
    <row r="111" spans="1:8">
      <c r="A111" s="21">
        <v>8081082</v>
      </c>
      <c r="B111" s="21" t="s">
        <v>773</v>
      </c>
      <c r="C111" s="21" t="s">
        <v>774</v>
      </c>
      <c r="D111" s="21">
        <v>1982</v>
      </c>
      <c r="E111" s="21" t="s">
        <v>290</v>
      </c>
      <c r="F111" s="21" t="s">
        <v>291</v>
      </c>
      <c r="G111" s="21" t="s">
        <v>815</v>
      </c>
      <c r="H111" s="21">
        <v>43384</v>
      </c>
    </row>
    <row r="112" spans="1:8">
      <c r="A112" s="21">
        <v>8517482</v>
      </c>
      <c r="B112" s="21" t="s">
        <v>87</v>
      </c>
      <c r="C112" s="21" t="s">
        <v>88</v>
      </c>
      <c r="D112" s="21">
        <v>2005</v>
      </c>
      <c r="E112" s="21" t="s">
        <v>89</v>
      </c>
      <c r="F112" s="21" t="s">
        <v>90</v>
      </c>
      <c r="G112" s="21" t="s">
        <v>10</v>
      </c>
      <c r="H112" s="21">
        <v>35478</v>
      </c>
    </row>
    <row r="113" spans="1:8">
      <c r="A113" s="21">
        <v>8664185</v>
      </c>
      <c r="B113" s="21" t="s">
        <v>91</v>
      </c>
      <c r="C113" s="21" t="s">
        <v>92</v>
      </c>
      <c r="D113" s="21">
        <v>1990</v>
      </c>
      <c r="E113" s="21" t="s">
        <v>8</v>
      </c>
      <c r="F113" s="21" t="s">
        <v>9</v>
      </c>
      <c r="G113" s="21" t="s">
        <v>10</v>
      </c>
      <c r="H113" s="21"/>
    </row>
    <row r="114" spans="1:8">
      <c r="A114" s="21">
        <v>9997777</v>
      </c>
      <c r="B114" s="21" t="s">
        <v>708</v>
      </c>
      <c r="C114" s="21" t="s">
        <v>536</v>
      </c>
      <c r="D114" s="21">
        <v>1946</v>
      </c>
      <c r="E114" s="21" t="s">
        <v>386</v>
      </c>
      <c r="F114" s="21" t="s">
        <v>387</v>
      </c>
      <c r="G114" s="21" t="s">
        <v>310</v>
      </c>
      <c r="H114" s="21">
        <v>12377</v>
      </c>
    </row>
    <row r="115" spans="1:8">
      <c r="A115" s="21">
        <v>8002207</v>
      </c>
      <c r="B115" s="21" t="s">
        <v>93</v>
      </c>
      <c r="C115" s="21" t="s">
        <v>94</v>
      </c>
      <c r="D115" s="21">
        <v>2005</v>
      </c>
      <c r="E115" s="21" t="s">
        <v>89</v>
      </c>
      <c r="F115" s="21" t="s">
        <v>90</v>
      </c>
      <c r="G115" s="21" t="s">
        <v>10</v>
      </c>
      <c r="H115" s="21">
        <v>35404</v>
      </c>
    </row>
    <row r="116" spans="1:8">
      <c r="A116" s="21"/>
      <c r="B116" s="21" t="s">
        <v>93</v>
      </c>
      <c r="C116" s="21" t="s">
        <v>95</v>
      </c>
      <c r="D116" s="21">
        <v>1975</v>
      </c>
      <c r="E116" s="21" t="s">
        <v>47</v>
      </c>
      <c r="F116" s="21" t="s">
        <v>48</v>
      </c>
      <c r="G116" s="21" t="s">
        <v>10</v>
      </c>
      <c r="H116" s="21">
        <v>35405</v>
      </c>
    </row>
    <row r="117" spans="1:8">
      <c r="A117" s="21">
        <v>7670121</v>
      </c>
      <c r="B117" s="21" t="s">
        <v>96</v>
      </c>
      <c r="C117" s="21" t="s">
        <v>97</v>
      </c>
      <c r="D117" s="21">
        <v>1967</v>
      </c>
      <c r="E117" s="21" t="s">
        <v>98</v>
      </c>
      <c r="F117" s="21" t="s">
        <v>99</v>
      </c>
      <c r="G117" s="21" t="s">
        <v>10</v>
      </c>
      <c r="H117" s="21">
        <v>11719</v>
      </c>
    </row>
    <row r="118" spans="1:8">
      <c r="A118" s="21">
        <v>2098455</v>
      </c>
      <c r="B118" s="21" t="s">
        <v>558</v>
      </c>
      <c r="C118" s="21" t="s">
        <v>559</v>
      </c>
      <c r="D118" s="21">
        <v>1961</v>
      </c>
      <c r="E118" s="21" t="s">
        <v>89</v>
      </c>
      <c r="F118" s="21" t="s">
        <v>90</v>
      </c>
      <c r="G118" s="21" t="s">
        <v>451</v>
      </c>
      <c r="H118" s="21">
        <v>879</v>
      </c>
    </row>
    <row r="119" spans="1:8">
      <c r="A119" s="21">
        <v>1409487</v>
      </c>
      <c r="B119" s="21" t="s">
        <v>560</v>
      </c>
      <c r="C119" s="21" t="s">
        <v>561</v>
      </c>
      <c r="D119" s="21">
        <v>1977</v>
      </c>
      <c r="E119" s="21" t="s">
        <v>8</v>
      </c>
      <c r="F119" s="21" t="s">
        <v>9</v>
      </c>
      <c r="G119" s="21" t="s">
        <v>451</v>
      </c>
      <c r="H119" s="21"/>
    </row>
    <row r="120" spans="1:8">
      <c r="A120" s="21">
        <v>8170577</v>
      </c>
      <c r="B120" s="21" t="s">
        <v>337</v>
      </c>
      <c r="C120" s="21" t="s">
        <v>338</v>
      </c>
      <c r="D120" s="21">
        <v>1977</v>
      </c>
      <c r="E120" s="21" t="s">
        <v>290</v>
      </c>
      <c r="F120" s="21" t="s">
        <v>291</v>
      </c>
      <c r="G120" s="21" t="s">
        <v>300</v>
      </c>
      <c r="H120" s="21">
        <v>14227</v>
      </c>
    </row>
    <row r="121" spans="1:8">
      <c r="A121" s="21">
        <v>9090989</v>
      </c>
      <c r="B121" s="21" t="s">
        <v>100</v>
      </c>
      <c r="C121" s="21" t="s">
        <v>16</v>
      </c>
      <c r="D121" s="21">
        <v>1966</v>
      </c>
      <c r="E121" s="21" t="s">
        <v>101</v>
      </c>
      <c r="F121" s="21" t="s">
        <v>102</v>
      </c>
      <c r="G121" s="21" t="s">
        <v>10</v>
      </c>
      <c r="H121" s="21">
        <v>2171</v>
      </c>
    </row>
    <row r="122" spans="1:8">
      <c r="A122" s="21">
        <v>7020865</v>
      </c>
      <c r="B122" s="21" t="s">
        <v>562</v>
      </c>
      <c r="C122" s="21" t="s">
        <v>146</v>
      </c>
      <c r="D122" s="21">
        <v>1965</v>
      </c>
      <c r="E122" s="21" t="s">
        <v>51</v>
      </c>
      <c r="F122" s="21" t="s">
        <v>52</v>
      </c>
      <c r="G122" s="21" t="s">
        <v>451</v>
      </c>
      <c r="H122" s="21">
        <v>34089</v>
      </c>
    </row>
    <row r="123" spans="1:8">
      <c r="A123" s="21">
        <v>8512614</v>
      </c>
      <c r="B123" s="21" t="s">
        <v>103</v>
      </c>
      <c r="C123" s="21" t="s">
        <v>104</v>
      </c>
      <c r="D123" s="21">
        <v>2000</v>
      </c>
      <c r="E123" s="21" t="s">
        <v>85</v>
      </c>
      <c r="F123" s="21" t="s">
        <v>86</v>
      </c>
      <c r="G123" s="21" t="s">
        <v>10</v>
      </c>
      <c r="H123" s="21">
        <v>45107</v>
      </c>
    </row>
    <row r="124" spans="1:8">
      <c r="A124" s="21">
        <v>8140601</v>
      </c>
      <c r="B124" s="21" t="s">
        <v>105</v>
      </c>
      <c r="C124" s="21" t="s">
        <v>39</v>
      </c>
      <c r="D124" s="21">
        <v>1996</v>
      </c>
      <c r="E124" s="21" t="s">
        <v>106</v>
      </c>
      <c r="F124" s="21" t="s">
        <v>107</v>
      </c>
      <c r="G124" s="21" t="s">
        <v>10</v>
      </c>
      <c r="H124" s="21">
        <v>31471</v>
      </c>
    </row>
    <row r="125" spans="1:8">
      <c r="A125" s="21"/>
      <c r="B125" s="21" t="s">
        <v>642</v>
      </c>
      <c r="C125" s="21" t="s">
        <v>643</v>
      </c>
      <c r="D125" s="21">
        <v>1962</v>
      </c>
      <c r="E125" s="21" t="s">
        <v>8</v>
      </c>
      <c r="F125" s="21" t="s">
        <v>9</v>
      </c>
      <c r="G125" s="21" t="s">
        <v>625</v>
      </c>
      <c r="H125" s="21"/>
    </row>
    <row r="126" spans="1:8">
      <c r="A126" s="21"/>
      <c r="B126" s="21" t="s">
        <v>709</v>
      </c>
      <c r="C126" s="21" t="s">
        <v>710</v>
      </c>
      <c r="D126" s="21">
        <v>1997</v>
      </c>
      <c r="E126" s="21" t="s">
        <v>415</v>
      </c>
      <c r="F126" s="21" t="s">
        <v>416</v>
      </c>
      <c r="G126" s="21" t="s">
        <v>310</v>
      </c>
      <c r="H126" s="21">
        <v>845155</v>
      </c>
    </row>
    <row r="127" spans="1:8">
      <c r="A127" s="21">
        <v>7010282</v>
      </c>
      <c r="B127" s="21" t="s">
        <v>108</v>
      </c>
      <c r="C127" s="21" t="s">
        <v>109</v>
      </c>
      <c r="D127" s="21">
        <v>1970</v>
      </c>
      <c r="E127" s="21" t="s">
        <v>8</v>
      </c>
      <c r="F127" s="21" t="s">
        <v>9</v>
      </c>
      <c r="G127" s="21" t="s">
        <v>10</v>
      </c>
      <c r="H127" s="21"/>
    </row>
    <row r="128" spans="1:8">
      <c r="A128" s="21">
        <v>9000978</v>
      </c>
      <c r="B128" s="21" t="s">
        <v>108</v>
      </c>
      <c r="C128" s="21" t="s">
        <v>110</v>
      </c>
      <c r="D128" s="21">
        <v>1959</v>
      </c>
      <c r="E128" s="21" t="s">
        <v>111</v>
      </c>
      <c r="F128" s="21" t="s">
        <v>112</v>
      </c>
      <c r="G128" s="21" t="s">
        <v>10</v>
      </c>
      <c r="H128" s="21">
        <v>12558</v>
      </c>
    </row>
    <row r="129" spans="1:8">
      <c r="A129" s="21">
        <v>8099178</v>
      </c>
      <c r="B129" s="21" t="s">
        <v>108</v>
      </c>
      <c r="C129" s="21" t="s">
        <v>448</v>
      </c>
      <c r="D129" s="21">
        <v>2007</v>
      </c>
      <c r="E129" s="21" t="s">
        <v>29</v>
      </c>
      <c r="F129" s="21" t="s">
        <v>30</v>
      </c>
      <c r="G129" s="21" t="s">
        <v>422</v>
      </c>
      <c r="H129" s="21">
        <v>38790</v>
      </c>
    </row>
    <row r="130" spans="1:8">
      <c r="A130" s="21">
        <v>1396459</v>
      </c>
      <c r="B130" s="21" t="s">
        <v>108</v>
      </c>
      <c r="C130" s="21" t="s">
        <v>492</v>
      </c>
      <c r="D130" s="21">
        <v>1957</v>
      </c>
      <c r="E130" s="21" t="s">
        <v>111</v>
      </c>
      <c r="F130" s="21" t="s">
        <v>112</v>
      </c>
      <c r="G130" s="21" t="s">
        <v>625</v>
      </c>
      <c r="H130" s="21">
        <v>14002</v>
      </c>
    </row>
    <row r="131" spans="1:8">
      <c r="A131" s="21">
        <v>253886</v>
      </c>
      <c r="B131" s="21" t="s">
        <v>563</v>
      </c>
      <c r="C131" s="21" t="s">
        <v>564</v>
      </c>
      <c r="D131" s="21">
        <v>1969</v>
      </c>
      <c r="E131" s="21" t="s">
        <v>8</v>
      </c>
      <c r="F131" s="21" t="s">
        <v>9</v>
      </c>
      <c r="G131" s="21" t="s">
        <v>451</v>
      </c>
      <c r="H131" s="21"/>
    </row>
    <row r="132" spans="1:8">
      <c r="A132" s="21">
        <v>8405907</v>
      </c>
      <c r="B132" s="21" t="s">
        <v>775</v>
      </c>
      <c r="C132" s="21" t="s">
        <v>776</v>
      </c>
      <c r="D132" s="21">
        <v>1996</v>
      </c>
      <c r="E132" s="21" t="s">
        <v>156</v>
      </c>
      <c r="F132" s="21" t="s">
        <v>157</v>
      </c>
      <c r="G132" s="21" t="s">
        <v>815</v>
      </c>
      <c r="H132" s="21">
        <v>23885</v>
      </c>
    </row>
    <row r="133" spans="1:8">
      <c r="A133" s="21"/>
      <c r="B133" s="21" t="s">
        <v>339</v>
      </c>
      <c r="C133" s="21" t="s">
        <v>340</v>
      </c>
      <c r="D133" s="21">
        <v>1979</v>
      </c>
      <c r="E133" s="21" t="s">
        <v>47</v>
      </c>
      <c r="F133" s="21" t="s">
        <v>48</v>
      </c>
      <c r="G133" s="21" t="s">
        <v>300</v>
      </c>
      <c r="H133" s="21">
        <v>36849</v>
      </c>
    </row>
    <row r="134" spans="1:8">
      <c r="A134" s="21">
        <v>1001996</v>
      </c>
      <c r="B134" s="21" t="s">
        <v>113</v>
      </c>
      <c r="C134" s="21" t="s">
        <v>338</v>
      </c>
      <c r="D134" s="21">
        <v>1996</v>
      </c>
      <c r="E134" s="21" t="s">
        <v>8</v>
      </c>
      <c r="F134" s="21" t="s">
        <v>9</v>
      </c>
      <c r="G134" s="21" t="s">
        <v>300</v>
      </c>
      <c r="H134" s="21"/>
    </row>
    <row r="135" spans="1:8">
      <c r="A135" s="21">
        <v>8508821</v>
      </c>
      <c r="B135" s="21" t="s">
        <v>113</v>
      </c>
      <c r="C135" s="21" t="s">
        <v>114</v>
      </c>
      <c r="D135" s="21">
        <v>1966</v>
      </c>
      <c r="E135" s="21" t="s">
        <v>34</v>
      </c>
      <c r="F135" s="21" t="s">
        <v>35</v>
      </c>
      <c r="G135" s="21" t="s">
        <v>10</v>
      </c>
      <c r="H135" s="21">
        <v>20384</v>
      </c>
    </row>
    <row r="136" spans="1:8">
      <c r="A136" s="21">
        <v>1960000</v>
      </c>
      <c r="B136" s="21" t="s">
        <v>113</v>
      </c>
      <c r="C136" s="21" t="s">
        <v>644</v>
      </c>
      <c r="D136" s="21">
        <v>1960</v>
      </c>
      <c r="E136" s="21" t="s">
        <v>34</v>
      </c>
      <c r="F136" s="21" t="s">
        <v>35</v>
      </c>
      <c r="G136" s="21" t="s">
        <v>625</v>
      </c>
      <c r="H136" s="21">
        <v>20383</v>
      </c>
    </row>
    <row r="137" spans="1:8">
      <c r="A137" s="21">
        <v>1251959</v>
      </c>
      <c r="B137" s="21" t="s">
        <v>449</v>
      </c>
      <c r="C137" s="21" t="s">
        <v>450</v>
      </c>
      <c r="D137" s="21">
        <v>1959</v>
      </c>
      <c r="E137" s="21" t="s">
        <v>8</v>
      </c>
      <c r="F137" s="21" t="s">
        <v>9</v>
      </c>
      <c r="G137" s="21" t="s">
        <v>422</v>
      </c>
      <c r="H137" s="21"/>
    </row>
    <row r="138" spans="1:8">
      <c r="A138" s="21">
        <v>8152006</v>
      </c>
      <c r="B138" s="21" t="s">
        <v>115</v>
      </c>
      <c r="C138" s="21" t="s">
        <v>88</v>
      </c>
      <c r="D138" s="21">
        <v>2006</v>
      </c>
      <c r="E138" s="21" t="s">
        <v>116</v>
      </c>
      <c r="F138" s="21" t="s">
        <v>117</v>
      </c>
      <c r="G138" s="21" t="s">
        <v>10</v>
      </c>
      <c r="H138" s="21">
        <v>36749</v>
      </c>
    </row>
    <row r="139" spans="1:8">
      <c r="A139" s="21">
        <v>8310773</v>
      </c>
      <c r="B139" s="21" t="s">
        <v>115</v>
      </c>
      <c r="C139" s="21" t="s">
        <v>118</v>
      </c>
      <c r="D139" s="21">
        <v>1973</v>
      </c>
      <c r="E139" s="21" t="s">
        <v>116</v>
      </c>
      <c r="F139" s="21" t="s">
        <v>117</v>
      </c>
      <c r="G139" s="21" t="s">
        <v>10</v>
      </c>
      <c r="H139" s="21">
        <v>38497</v>
      </c>
    </row>
    <row r="140" spans="1:8">
      <c r="A140" s="21">
        <v>7910003</v>
      </c>
      <c r="B140" s="21" t="s">
        <v>341</v>
      </c>
      <c r="C140" s="21" t="s">
        <v>342</v>
      </c>
      <c r="D140" s="21">
        <v>1978</v>
      </c>
      <c r="E140" s="21" t="s">
        <v>29</v>
      </c>
      <c r="F140" s="21" t="s">
        <v>30</v>
      </c>
      <c r="G140" s="21" t="s">
        <v>300</v>
      </c>
      <c r="H140" s="21">
        <v>41514</v>
      </c>
    </row>
    <row r="141" spans="1:8">
      <c r="A141" s="21">
        <v>8180686</v>
      </c>
      <c r="B141" s="21" t="s">
        <v>119</v>
      </c>
      <c r="C141" s="21" t="s">
        <v>43</v>
      </c>
      <c r="D141" s="21">
        <v>1986</v>
      </c>
      <c r="E141" s="21" t="s">
        <v>120</v>
      </c>
      <c r="F141" s="21" t="s">
        <v>121</v>
      </c>
      <c r="G141" s="21" t="s">
        <v>10</v>
      </c>
      <c r="H141" s="21">
        <v>14285</v>
      </c>
    </row>
    <row r="142" spans="1:8">
      <c r="A142" s="21">
        <v>7779777</v>
      </c>
      <c r="B142" s="21" t="s">
        <v>122</v>
      </c>
      <c r="C142" s="21" t="s">
        <v>123</v>
      </c>
      <c r="D142" s="21">
        <v>1959</v>
      </c>
      <c r="E142" s="21" t="s">
        <v>111</v>
      </c>
      <c r="F142" s="21" t="s">
        <v>112</v>
      </c>
      <c r="G142" s="21" t="s">
        <v>10</v>
      </c>
      <c r="H142" s="21">
        <v>3194</v>
      </c>
    </row>
    <row r="143" spans="1:8">
      <c r="A143" s="21">
        <v>8150116</v>
      </c>
      <c r="B143" s="21" t="s">
        <v>452</v>
      </c>
      <c r="C143" s="21" t="s">
        <v>210</v>
      </c>
      <c r="D143" s="21">
        <v>1956</v>
      </c>
      <c r="E143" s="21" t="s">
        <v>207</v>
      </c>
      <c r="F143" s="21" t="s">
        <v>208</v>
      </c>
      <c r="G143" s="21" t="s">
        <v>422</v>
      </c>
      <c r="H143" s="21">
        <v>3384</v>
      </c>
    </row>
    <row r="144" spans="1:8">
      <c r="A144" s="21">
        <v>8060892</v>
      </c>
      <c r="B144" s="21" t="s">
        <v>453</v>
      </c>
      <c r="C144" s="21" t="s">
        <v>375</v>
      </c>
      <c r="D144" s="21">
        <v>1960</v>
      </c>
      <c r="E144" s="21" t="s">
        <v>207</v>
      </c>
      <c r="F144" s="21" t="s">
        <v>208</v>
      </c>
      <c r="G144" s="21" t="s">
        <v>422</v>
      </c>
      <c r="H144" s="21">
        <v>13233</v>
      </c>
    </row>
    <row r="145" spans="1:8">
      <c r="A145" s="21">
        <v>1077834</v>
      </c>
      <c r="B145" s="21" t="s">
        <v>343</v>
      </c>
      <c r="C145" s="21" t="s">
        <v>344</v>
      </c>
      <c r="D145" s="21">
        <v>1989</v>
      </c>
      <c r="E145" s="21" t="s">
        <v>34</v>
      </c>
      <c r="F145" s="21" t="s">
        <v>35</v>
      </c>
      <c r="G145" s="21" t="s">
        <v>300</v>
      </c>
      <c r="H145" s="21">
        <v>29765</v>
      </c>
    </row>
    <row r="146" spans="1:8">
      <c r="A146" s="21">
        <v>8190770</v>
      </c>
      <c r="B146" s="21" t="s">
        <v>345</v>
      </c>
      <c r="C146" s="21" t="s">
        <v>171</v>
      </c>
      <c r="D146" s="21">
        <v>1970</v>
      </c>
      <c r="E146" s="21" t="s">
        <v>34</v>
      </c>
      <c r="F146" s="21" t="s">
        <v>35</v>
      </c>
      <c r="G146" s="21" t="s">
        <v>300</v>
      </c>
      <c r="H146" s="21">
        <v>16184</v>
      </c>
    </row>
    <row r="147" spans="1:8">
      <c r="A147" s="21">
        <v>1001936</v>
      </c>
      <c r="B147" s="21" t="s">
        <v>345</v>
      </c>
      <c r="C147" s="21" t="s">
        <v>565</v>
      </c>
      <c r="D147" s="21">
        <v>2002</v>
      </c>
      <c r="E147" s="21" t="s">
        <v>34</v>
      </c>
      <c r="F147" s="21" t="s">
        <v>35</v>
      </c>
      <c r="G147" s="21" t="s">
        <v>451</v>
      </c>
      <c r="H147" s="21">
        <v>17542</v>
      </c>
    </row>
    <row r="148" spans="1:8">
      <c r="A148" s="21">
        <v>2442710</v>
      </c>
      <c r="B148" s="21" t="s">
        <v>711</v>
      </c>
      <c r="C148" s="21" t="s">
        <v>712</v>
      </c>
      <c r="D148" s="21">
        <v>2010</v>
      </c>
      <c r="E148" s="21" t="s">
        <v>55</v>
      </c>
      <c r="F148" s="21" t="s">
        <v>56</v>
      </c>
      <c r="G148" s="21" t="s">
        <v>310</v>
      </c>
      <c r="H148" s="21">
        <v>44659</v>
      </c>
    </row>
    <row r="149" spans="1:8">
      <c r="A149" s="21">
        <v>8099040</v>
      </c>
      <c r="B149" s="21" t="s">
        <v>454</v>
      </c>
      <c r="C149" s="21" t="s">
        <v>272</v>
      </c>
      <c r="D149" s="21">
        <v>1966</v>
      </c>
      <c r="E149" s="21" t="s">
        <v>34</v>
      </c>
      <c r="F149" s="21" t="s">
        <v>35</v>
      </c>
      <c r="G149" s="21" t="s">
        <v>422</v>
      </c>
      <c r="H149" s="21">
        <v>25240</v>
      </c>
    </row>
    <row r="150" spans="1:8">
      <c r="A150" s="21">
        <v>2230070</v>
      </c>
      <c r="B150" s="21" t="s">
        <v>455</v>
      </c>
      <c r="C150" s="21" t="s">
        <v>178</v>
      </c>
      <c r="D150" s="21">
        <v>1963</v>
      </c>
      <c r="E150" s="21" t="s">
        <v>47</v>
      </c>
      <c r="F150" s="21" t="s">
        <v>48</v>
      </c>
      <c r="G150" s="21" t="s">
        <v>422</v>
      </c>
      <c r="H150" s="21">
        <v>16267</v>
      </c>
    </row>
    <row r="151" spans="1:8">
      <c r="A151" s="21">
        <v>8062832</v>
      </c>
      <c r="B151" s="21" t="s">
        <v>124</v>
      </c>
      <c r="C151" s="21" t="s">
        <v>125</v>
      </c>
      <c r="D151" s="21">
        <v>1976</v>
      </c>
      <c r="E151" s="21" t="s">
        <v>40</v>
      </c>
      <c r="F151" s="21" t="s">
        <v>41</v>
      </c>
      <c r="G151" s="21" t="s">
        <v>10</v>
      </c>
      <c r="H151" s="21">
        <v>13756</v>
      </c>
    </row>
    <row r="152" spans="1:8">
      <c r="A152" s="21">
        <v>2069029</v>
      </c>
      <c r="B152" s="21" t="s">
        <v>456</v>
      </c>
      <c r="C152" s="21" t="s">
        <v>210</v>
      </c>
      <c r="D152" s="21">
        <v>1964</v>
      </c>
      <c r="E152" s="21" t="s">
        <v>111</v>
      </c>
      <c r="F152" s="21" t="s">
        <v>112</v>
      </c>
      <c r="G152" s="21" t="s">
        <v>422</v>
      </c>
      <c r="H152" s="21">
        <v>16190</v>
      </c>
    </row>
    <row r="153" spans="1:8">
      <c r="A153" s="21">
        <v>8240198</v>
      </c>
      <c r="B153" s="21" t="s">
        <v>126</v>
      </c>
      <c r="C153" s="21" t="s">
        <v>127</v>
      </c>
      <c r="D153" s="21">
        <v>1998</v>
      </c>
      <c r="E153" s="21" t="s">
        <v>75</v>
      </c>
      <c r="F153" s="21" t="s">
        <v>76</v>
      </c>
      <c r="G153" s="21" t="s">
        <v>10</v>
      </c>
      <c r="H153" s="21">
        <v>26803</v>
      </c>
    </row>
    <row r="154" spans="1:8">
      <c r="A154" s="21">
        <v>1590800</v>
      </c>
      <c r="B154" s="21" t="s">
        <v>457</v>
      </c>
      <c r="C154" s="21" t="s">
        <v>458</v>
      </c>
      <c r="D154" s="21">
        <v>2000</v>
      </c>
      <c r="E154" s="21" t="s">
        <v>156</v>
      </c>
      <c r="F154" s="21" t="s">
        <v>157</v>
      </c>
      <c r="G154" s="21" t="s">
        <v>422</v>
      </c>
      <c r="H154" s="21">
        <v>39000</v>
      </c>
    </row>
    <row r="155" spans="1:8">
      <c r="A155" s="21">
        <v>31398</v>
      </c>
      <c r="B155" s="21" t="s">
        <v>459</v>
      </c>
      <c r="C155" s="21" t="s">
        <v>110</v>
      </c>
      <c r="D155" s="21">
        <v>1957</v>
      </c>
      <c r="E155" s="21" t="s">
        <v>460</v>
      </c>
      <c r="F155" s="21" t="s">
        <v>461</v>
      </c>
      <c r="G155" s="21" t="s">
        <v>422</v>
      </c>
      <c r="H155" s="21">
        <v>10627</v>
      </c>
    </row>
    <row r="156" spans="1:8">
      <c r="A156" s="21">
        <v>2230066</v>
      </c>
      <c r="B156" s="21" t="s">
        <v>713</v>
      </c>
      <c r="C156" s="21" t="s">
        <v>714</v>
      </c>
      <c r="D156" s="21">
        <v>2010</v>
      </c>
      <c r="E156" s="21" t="s">
        <v>47</v>
      </c>
      <c r="F156" s="21" t="s">
        <v>48</v>
      </c>
      <c r="G156" s="21" t="s">
        <v>310</v>
      </c>
      <c r="H156" s="21">
        <v>41393</v>
      </c>
    </row>
    <row r="157" spans="1:8">
      <c r="A157" s="21">
        <v>2158026</v>
      </c>
      <c r="B157" s="21" t="s">
        <v>755</v>
      </c>
      <c r="C157" s="21" t="s">
        <v>756</v>
      </c>
      <c r="D157" s="21">
        <v>2012</v>
      </c>
      <c r="E157" s="21" t="s">
        <v>47</v>
      </c>
      <c r="F157" s="21" t="s">
        <v>48</v>
      </c>
      <c r="G157" s="21" t="s">
        <v>752</v>
      </c>
      <c r="H157" s="21">
        <v>45543</v>
      </c>
    </row>
    <row r="158" spans="1:8">
      <c r="A158" s="21">
        <v>7005157</v>
      </c>
      <c r="B158" s="21" t="s">
        <v>462</v>
      </c>
      <c r="C158" s="21" t="s">
        <v>377</v>
      </c>
      <c r="D158" s="21">
        <v>1980</v>
      </c>
      <c r="E158" s="21" t="s">
        <v>47</v>
      </c>
      <c r="F158" s="21" t="s">
        <v>48</v>
      </c>
      <c r="G158" s="21" t="s">
        <v>422</v>
      </c>
      <c r="H158" s="21">
        <v>884</v>
      </c>
    </row>
    <row r="159" spans="1:8">
      <c r="A159" s="21">
        <v>213248</v>
      </c>
      <c r="B159" s="21" t="s">
        <v>463</v>
      </c>
      <c r="C159" s="21" t="s">
        <v>464</v>
      </c>
      <c r="D159" s="21">
        <v>1998</v>
      </c>
      <c r="E159" s="21" t="s">
        <v>61</v>
      </c>
      <c r="F159" s="21" t="s">
        <v>62</v>
      </c>
      <c r="G159" s="21" t="s">
        <v>422</v>
      </c>
      <c r="H159" s="21">
        <v>41415</v>
      </c>
    </row>
    <row r="160" spans="1:8">
      <c r="A160" s="21">
        <v>1115421</v>
      </c>
      <c r="B160" s="21" t="s">
        <v>645</v>
      </c>
      <c r="C160" s="21" t="s">
        <v>559</v>
      </c>
      <c r="D160" s="21">
        <v>1963</v>
      </c>
      <c r="E160" s="21" t="s">
        <v>29</v>
      </c>
      <c r="F160" s="21" t="s">
        <v>30</v>
      </c>
      <c r="G160" s="21" t="s">
        <v>625</v>
      </c>
      <c r="H160" s="21">
        <v>19686</v>
      </c>
    </row>
    <row r="161" spans="1:8">
      <c r="A161" s="21">
        <v>1780704</v>
      </c>
      <c r="B161" s="21" t="s">
        <v>465</v>
      </c>
      <c r="C161" s="21" t="s">
        <v>237</v>
      </c>
      <c r="D161" s="21">
        <v>1965</v>
      </c>
      <c r="E161" s="21" t="s">
        <v>34</v>
      </c>
      <c r="F161" s="21" t="s">
        <v>35</v>
      </c>
      <c r="G161" s="21" t="s">
        <v>422</v>
      </c>
      <c r="H161" s="21">
        <v>8889</v>
      </c>
    </row>
    <row r="162" spans="1:8">
      <c r="A162" s="21">
        <v>7002242</v>
      </c>
      <c r="B162" s="21" t="s">
        <v>466</v>
      </c>
      <c r="C162" s="21" t="s">
        <v>467</v>
      </c>
      <c r="D162" s="21">
        <v>1959</v>
      </c>
      <c r="E162" s="21" t="s">
        <v>8</v>
      </c>
      <c r="F162" s="21" t="s">
        <v>9</v>
      </c>
      <c r="G162" s="21" t="s">
        <v>422</v>
      </c>
      <c r="H162" s="21"/>
    </row>
    <row r="163" spans="1:8">
      <c r="A163" s="21">
        <v>7005064</v>
      </c>
      <c r="B163" s="21" t="s">
        <v>468</v>
      </c>
      <c r="C163" s="21" t="s">
        <v>146</v>
      </c>
      <c r="D163" s="21">
        <v>1968</v>
      </c>
      <c r="E163" s="21" t="s">
        <v>266</v>
      </c>
      <c r="F163" s="21" t="s">
        <v>267</v>
      </c>
      <c r="G163" s="21" t="s">
        <v>422</v>
      </c>
      <c r="H163" s="21">
        <v>1978</v>
      </c>
    </row>
    <row r="164" spans="1:8">
      <c r="A164" s="21">
        <v>2158068</v>
      </c>
      <c r="B164" s="21" t="s">
        <v>646</v>
      </c>
      <c r="C164" s="21" t="s">
        <v>569</v>
      </c>
      <c r="D164" s="21">
        <v>1976</v>
      </c>
      <c r="E164" s="21" t="s">
        <v>29</v>
      </c>
      <c r="F164" s="21" t="s">
        <v>30</v>
      </c>
      <c r="G164" s="21" t="s">
        <v>625</v>
      </c>
      <c r="H164" s="21">
        <v>41990</v>
      </c>
    </row>
    <row r="165" spans="1:8">
      <c r="A165" s="21">
        <v>8141081</v>
      </c>
      <c r="B165" s="21" t="s">
        <v>128</v>
      </c>
      <c r="C165" s="21" t="s">
        <v>129</v>
      </c>
      <c r="D165" s="21">
        <v>1981</v>
      </c>
      <c r="E165" s="21" t="s">
        <v>47</v>
      </c>
      <c r="F165" s="21" t="s">
        <v>48</v>
      </c>
      <c r="G165" s="21" t="s">
        <v>10</v>
      </c>
      <c r="H165" s="21">
        <v>25042</v>
      </c>
    </row>
    <row r="166" spans="1:8">
      <c r="A166" s="21">
        <v>7061619</v>
      </c>
      <c r="B166" s="21" t="s">
        <v>469</v>
      </c>
      <c r="C166" s="21" t="s">
        <v>429</v>
      </c>
      <c r="D166" s="21">
        <v>1982</v>
      </c>
      <c r="E166" s="21" t="s">
        <v>61</v>
      </c>
      <c r="F166" s="21" t="s">
        <v>62</v>
      </c>
      <c r="G166" s="21" t="s">
        <v>422</v>
      </c>
      <c r="H166" s="21">
        <v>43271</v>
      </c>
    </row>
    <row r="167" spans="1:8">
      <c r="A167" s="21">
        <v>1071082</v>
      </c>
      <c r="B167" s="21" t="s">
        <v>346</v>
      </c>
      <c r="C167" s="21" t="s">
        <v>324</v>
      </c>
      <c r="D167" s="21">
        <v>1982</v>
      </c>
      <c r="E167" s="21" t="s">
        <v>8</v>
      </c>
      <c r="F167" s="21" t="s">
        <v>9</v>
      </c>
      <c r="G167" s="21" t="s">
        <v>300</v>
      </c>
      <c r="H167" s="21"/>
    </row>
    <row r="168" spans="1:8">
      <c r="A168" s="21">
        <v>8260678</v>
      </c>
      <c r="B168" s="21" t="s">
        <v>566</v>
      </c>
      <c r="C168" s="21" t="s">
        <v>567</v>
      </c>
      <c r="D168" s="21">
        <v>1978</v>
      </c>
      <c r="E168" s="21" t="s">
        <v>25</v>
      </c>
      <c r="F168" s="21" t="s">
        <v>26</v>
      </c>
      <c r="G168" s="21" t="s">
        <v>451</v>
      </c>
      <c r="H168" s="21">
        <v>29913</v>
      </c>
    </row>
    <row r="169" spans="1:8">
      <c r="A169" s="21">
        <v>8002058</v>
      </c>
      <c r="B169" s="21" t="s">
        <v>130</v>
      </c>
      <c r="C169" s="21" t="s">
        <v>131</v>
      </c>
      <c r="D169" s="21">
        <v>1972</v>
      </c>
      <c r="E169" s="21" t="s">
        <v>132</v>
      </c>
      <c r="F169" s="21" t="s">
        <v>133</v>
      </c>
      <c r="G169" s="21" t="s">
        <v>10</v>
      </c>
      <c r="H169" s="21">
        <v>3719</v>
      </c>
    </row>
    <row r="170" spans="1:8">
      <c r="A170" s="21"/>
      <c r="B170" s="21" t="s">
        <v>347</v>
      </c>
      <c r="C170" s="21" t="s">
        <v>92</v>
      </c>
      <c r="D170" s="21">
        <v>1981</v>
      </c>
      <c r="E170" s="21" t="s">
        <v>8</v>
      </c>
      <c r="F170" s="21" t="s">
        <v>9</v>
      </c>
      <c r="G170" s="21" t="s">
        <v>300</v>
      </c>
      <c r="H170" s="21"/>
    </row>
    <row r="171" spans="1:8">
      <c r="A171" s="21">
        <v>8009912</v>
      </c>
      <c r="B171" s="21" t="s">
        <v>470</v>
      </c>
      <c r="C171" s="21" t="s">
        <v>167</v>
      </c>
      <c r="D171" s="21">
        <v>2007</v>
      </c>
      <c r="E171" s="21" t="s">
        <v>386</v>
      </c>
      <c r="F171" s="21" t="s">
        <v>387</v>
      </c>
      <c r="G171" s="21" t="s">
        <v>422</v>
      </c>
      <c r="H171" s="21">
        <v>36127</v>
      </c>
    </row>
    <row r="172" spans="1:8">
      <c r="A172" s="21">
        <v>8094046</v>
      </c>
      <c r="B172" s="21" t="s">
        <v>470</v>
      </c>
      <c r="C172" s="21" t="s">
        <v>568</v>
      </c>
      <c r="D172" s="21">
        <v>1973</v>
      </c>
      <c r="E172" s="21" t="s">
        <v>386</v>
      </c>
      <c r="F172" s="21" t="s">
        <v>387</v>
      </c>
      <c r="G172" s="21" t="s">
        <v>451</v>
      </c>
      <c r="H172" s="21">
        <v>26857</v>
      </c>
    </row>
    <row r="173" spans="1:8">
      <c r="A173" s="21">
        <v>239684</v>
      </c>
      <c r="B173" s="21" t="s">
        <v>715</v>
      </c>
      <c r="C173" s="21" t="s">
        <v>706</v>
      </c>
      <c r="D173" s="21">
        <v>2013</v>
      </c>
      <c r="E173" s="21" t="s">
        <v>89</v>
      </c>
      <c r="F173" s="21" t="s">
        <v>90</v>
      </c>
      <c r="G173" s="21" t="s">
        <v>310</v>
      </c>
      <c r="H173" s="21">
        <v>40116</v>
      </c>
    </row>
    <row r="174" spans="1:8">
      <c r="A174" s="21">
        <v>8151224</v>
      </c>
      <c r="B174" s="21" t="s">
        <v>134</v>
      </c>
      <c r="C174" s="21" t="s">
        <v>135</v>
      </c>
      <c r="D174" s="21">
        <v>1964</v>
      </c>
      <c r="E174" s="21" t="s">
        <v>47</v>
      </c>
      <c r="F174" s="21" t="s">
        <v>48</v>
      </c>
      <c r="G174" s="21" t="s">
        <v>10</v>
      </c>
      <c r="H174" s="21">
        <v>2151</v>
      </c>
    </row>
    <row r="175" spans="1:8">
      <c r="A175" s="21">
        <v>8001980</v>
      </c>
      <c r="B175" s="21" t="s">
        <v>134</v>
      </c>
      <c r="C175" s="21" t="s">
        <v>136</v>
      </c>
      <c r="D175" s="21">
        <v>2004</v>
      </c>
      <c r="E175" s="21" t="s">
        <v>47</v>
      </c>
      <c r="F175" s="21" t="s">
        <v>48</v>
      </c>
      <c r="G175" s="21" t="s">
        <v>10</v>
      </c>
      <c r="H175" s="21">
        <v>21231</v>
      </c>
    </row>
    <row r="176" spans="1:8">
      <c r="A176" s="21">
        <v>7580221</v>
      </c>
      <c r="B176" s="21" t="s">
        <v>716</v>
      </c>
      <c r="C176" s="21" t="s">
        <v>717</v>
      </c>
      <c r="D176" s="21">
        <v>1958</v>
      </c>
      <c r="E176" s="21" t="s">
        <v>718</v>
      </c>
      <c r="F176" s="21" t="s">
        <v>719</v>
      </c>
      <c r="G176" s="21" t="s">
        <v>310</v>
      </c>
      <c r="H176" s="21"/>
    </row>
    <row r="177" spans="1:8">
      <c r="A177" s="21">
        <v>8006142</v>
      </c>
      <c r="B177" s="21" t="s">
        <v>137</v>
      </c>
      <c r="C177" s="21" t="s">
        <v>138</v>
      </c>
      <c r="D177" s="21">
        <v>1970</v>
      </c>
      <c r="E177" s="21" t="s">
        <v>8</v>
      </c>
      <c r="F177" s="21" t="s">
        <v>9</v>
      </c>
      <c r="G177" s="21" t="s">
        <v>10</v>
      </c>
      <c r="H177" s="21"/>
    </row>
    <row r="178" spans="1:8">
      <c r="A178" s="21">
        <v>1502041</v>
      </c>
      <c r="B178" s="21" t="s">
        <v>137</v>
      </c>
      <c r="C178" s="21" t="s">
        <v>182</v>
      </c>
      <c r="D178" s="21">
        <v>1996</v>
      </c>
      <c r="E178" s="21" t="s">
        <v>61</v>
      </c>
      <c r="F178" s="21" t="s">
        <v>62</v>
      </c>
      <c r="G178" s="21" t="s">
        <v>422</v>
      </c>
      <c r="H178" s="21">
        <v>43521</v>
      </c>
    </row>
    <row r="179" spans="1:8">
      <c r="A179" s="21">
        <v>8028012</v>
      </c>
      <c r="B179" s="21" t="s">
        <v>139</v>
      </c>
      <c r="C179" s="21" t="s">
        <v>140</v>
      </c>
      <c r="D179" s="21">
        <v>1974</v>
      </c>
      <c r="E179" s="21" t="s">
        <v>141</v>
      </c>
      <c r="F179" s="21" t="s">
        <v>142</v>
      </c>
      <c r="G179" s="21" t="s">
        <v>10</v>
      </c>
      <c r="H179" s="21">
        <v>37363</v>
      </c>
    </row>
    <row r="180" spans="1:8">
      <c r="A180" s="21">
        <v>8099145</v>
      </c>
      <c r="B180" s="21" t="s">
        <v>348</v>
      </c>
      <c r="C180" s="21" t="s">
        <v>123</v>
      </c>
      <c r="D180" s="21">
        <v>1959</v>
      </c>
      <c r="E180" s="21" t="s">
        <v>34</v>
      </c>
      <c r="F180" s="21" t="s">
        <v>35</v>
      </c>
      <c r="G180" s="21" t="s">
        <v>300</v>
      </c>
      <c r="H180" s="21">
        <v>11313</v>
      </c>
    </row>
    <row r="181" spans="1:8">
      <c r="A181" s="21">
        <v>339474</v>
      </c>
      <c r="B181" s="21" t="s">
        <v>348</v>
      </c>
      <c r="C181" s="21" t="s">
        <v>569</v>
      </c>
      <c r="D181" s="21">
        <v>1959</v>
      </c>
      <c r="E181" s="21" t="s">
        <v>34</v>
      </c>
      <c r="F181" s="21" t="s">
        <v>35</v>
      </c>
      <c r="G181" s="21" t="s">
        <v>451</v>
      </c>
      <c r="H181" s="21">
        <v>17536</v>
      </c>
    </row>
    <row r="182" spans="1:8">
      <c r="A182" s="21">
        <v>770797</v>
      </c>
      <c r="B182" s="21" t="s">
        <v>143</v>
      </c>
      <c r="C182" s="21" t="s">
        <v>144</v>
      </c>
      <c r="D182" s="21">
        <v>1997</v>
      </c>
      <c r="E182" s="21" t="s">
        <v>89</v>
      </c>
      <c r="F182" s="21" t="s">
        <v>90</v>
      </c>
      <c r="G182" s="21" t="s">
        <v>10</v>
      </c>
      <c r="H182" s="21">
        <v>13926</v>
      </c>
    </row>
    <row r="183" spans="1:8">
      <c r="A183" s="21">
        <v>8200371</v>
      </c>
      <c r="B183" s="21" t="s">
        <v>145</v>
      </c>
      <c r="C183" s="21" t="s">
        <v>146</v>
      </c>
      <c r="D183" s="21">
        <v>1971</v>
      </c>
      <c r="E183" s="21" t="s">
        <v>85</v>
      </c>
      <c r="F183" s="21" t="s">
        <v>86</v>
      </c>
      <c r="G183" s="21" t="s">
        <v>10</v>
      </c>
      <c r="H183" s="21">
        <v>26730</v>
      </c>
    </row>
    <row r="184" spans="1:8">
      <c r="A184" s="21">
        <v>7501084</v>
      </c>
      <c r="B184" s="21" t="s">
        <v>471</v>
      </c>
      <c r="C184" s="21" t="s">
        <v>12</v>
      </c>
      <c r="D184" s="21">
        <v>1980</v>
      </c>
      <c r="E184" s="21" t="s">
        <v>29</v>
      </c>
      <c r="F184" s="21" t="s">
        <v>30</v>
      </c>
      <c r="G184" s="21" t="s">
        <v>422</v>
      </c>
      <c r="H184" s="21">
        <v>43842</v>
      </c>
    </row>
    <row r="185" spans="1:8">
      <c r="A185" s="21">
        <v>1040833</v>
      </c>
      <c r="B185" s="21" t="s">
        <v>471</v>
      </c>
      <c r="C185" s="21" t="s">
        <v>153</v>
      </c>
      <c r="D185" s="21">
        <v>2009</v>
      </c>
      <c r="E185" s="21" t="s">
        <v>29</v>
      </c>
      <c r="F185" s="21" t="s">
        <v>30</v>
      </c>
      <c r="G185" s="21" t="s">
        <v>625</v>
      </c>
      <c r="H185" s="21">
        <v>43843</v>
      </c>
    </row>
    <row r="186" spans="1:8">
      <c r="A186" s="21">
        <v>1040846</v>
      </c>
      <c r="B186" s="21" t="s">
        <v>471</v>
      </c>
      <c r="C186" s="21" t="s">
        <v>720</v>
      </c>
      <c r="D186" s="21">
        <v>2011</v>
      </c>
      <c r="E186" s="21" t="s">
        <v>29</v>
      </c>
      <c r="F186" s="21" t="s">
        <v>30</v>
      </c>
      <c r="G186" s="21" t="s">
        <v>310</v>
      </c>
      <c r="H186" s="21">
        <v>43844</v>
      </c>
    </row>
    <row r="187" spans="1:8">
      <c r="A187" s="21">
        <v>8221969</v>
      </c>
      <c r="B187" s="21" t="s">
        <v>147</v>
      </c>
      <c r="C187" s="21" t="s">
        <v>148</v>
      </c>
      <c r="D187" s="21">
        <v>1969</v>
      </c>
      <c r="E187" s="21" t="s">
        <v>116</v>
      </c>
      <c r="F187" s="21" t="s">
        <v>117</v>
      </c>
      <c r="G187" s="21" t="s">
        <v>10</v>
      </c>
      <c r="H187" s="21">
        <v>6747</v>
      </c>
    </row>
    <row r="188" spans="1:8">
      <c r="A188" s="21"/>
      <c r="B188" s="21" t="s">
        <v>721</v>
      </c>
      <c r="C188" s="21" t="s">
        <v>413</v>
      </c>
      <c r="D188" s="21">
        <v>1982</v>
      </c>
      <c r="E188" s="21" t="s">
        <v>718</v>
      </c>
      <c r="F188" s="21" t="s">
        <v>719</v>
      </c>
      <c r="G188" s="21" t="s">
        <v>310</v>
      </c>
      <c r="H188" s="21"/>
    </row>
    <row r="189" spans="1:8">
      <c r="A189" s="21"/>
      <c r="B189" s="21" t="s">
        <v>721</v>
      </c>
      <c r="C189" s="21" t="s">
        <v>278</v>
      </c>
      <c r="D189" s="21"/>
      <c r="E189" s="21" t="s">
        <v>704</v>
      </c>
      <c r="F189" s="21" t="s">
        <v>705</v>
      </c>
      <c r="G189" s="21" t="s">
        <v>310</v>
      </c>
      <c r="H189" s="21"/>
    </row>
    <row r="190" spans="1:8">
      <c r="A190" s="21">
        <v>9011960</v>
      </c>
      <c r="B190" s="21" t="s">
        <v>349</v>
      </c>
      <c r="C190" s="21" t="s">
        <v>350</v>
      </c>
      <c r="D190" s="21">
        <v>1960</v>
      </c>
      <c r="E190" s="21" t="s">
        <v>8</v>
      </c>
      <c r="F190" s="21" t="s">
        <v>9</v>
      </c>
      <c r="G190" s="21" t="s">
        <v>300</v>
      </c>
      <c r="H190" s="21"/>
    </row>
    <row r="191" spans="1:8">
      <c r="A191" s="21">
        <v>7170292</v>
      </c>
      <c r="B191" s="21" t="s">
        <v>149</v>
      </c>
      <c r="C191" s="21" t="s">
        <v>37</v>
      </c>
      <c r="D191" s="21">
        <v>1992</v>
      </c>
      <c r="E191" s="21" t="s">
        <v>150</v>
      </c>
      <c r="F191" s="21" t="s">
        <v>151</v>
      </c>
      <c r="G191" s="21" t="s">
        <v>10</v>
      </c>
      <c r="H191" s="21">
        <v>43131</v>
      </c>
    </row>
    <row r="192" spans="1:8">
      <c r="A192" s="21">
        <v>7640921</v>
      </c>
      <c r="B192" s="21" t="s">
        <v>152</v>
      </c>
      <c r="C192" s="21" t="s">
        <v>153</v>
      </c>
      <c r="D192" s="21">
        <v>1964</v>
      </c>
      <c r="E192" s="21" t="s">
        <v>34</v>
      </c>
      <c r="F192" s="21" t="s">
        <v>35</v>
      </c>
      <c r="G192" s="21" t="s">
        <v>10</v>
      </c>
      <c r="H192" s="21">
        <v>19674</v>
      </c>
    </row>
    <row r="193" spans="1:8">
      <c r="A193" s="21">
        <v>9002012</v>
      </c>
      <c r="B193" s="21" t="s">
        <v>472</v>
      </c>
      <c r="C193" s="21" t="s">
        <v>110</v>
      </c>
      <c r="D193" s="21">
        <v>1959</v>
      </c>
      <c r="E193" s="21" t="s">
        <v>369</v>
      </c>
      <c r="F193" s="21" t="s">
        <v>370</v>
      </c>
      <c r="G193" s="21" t="s">
        <v>422</v>
      </c>
      <c r="H193" s="21">
        <v>16916</v>
      </c>
    </row>
    <row r="194" spans="1:8">
      <c r="A194" s="21">
        <v>7969200</v>
      </c>
      <c r="B194" s="21" t="s">
        <v>647</v>
      </c>
      <c r="C194" s="21" t="s">
        <v>648</v>
      </c>
      <c r="D194" s="21">
        <v>1961</v>
      </c>
      <c r="E194" s="21" t="s">
        <v>649</v>
      </c>
      <c r="F194" s="21" t="s">
        <v>650</v>
      </c>
      <c r="G194" s="21" t="s">
        <v>625</v>
      </c>
      <c r="H194" s="21">
        <v>1752</v>
      </c>
    </row>
    <row r="195" spans="1:8">
      <c r="A195" s="21">
        <v>8059067</v>
      </c>
      <c r="B195" s="21" t="s">
        <v>154</v>
      </c>
      <c r="C195" s="21" t="s">
        <v>155</v>
      </c>
      <c r="D195" s="21">
        <v>1998</v>
      </c>
      <c r="E195" s="21" t="s">
        <v>156</v>
      </c>
      <c r="F195" s="21" t="s">
        <v>157</v>
      </c>
      <c r="G195" s="21" t="s">
        <v>10</v>
      </c>
      <c r="H195" s="21">
        <v>30350</v>
      </c>
    </row>
    <row r="196" spans="1:8">
      <c r="A196" s="21">
        <v>8217761</v>
      </c>
      <c r="B196" s="21" t="s">
        <v>473</v>
      </c>
      <c r="C196" s="21" t="s">
        <v>474</v>
      </c>
      <c r="D196" s="21">
        <v>2008</v>
      </c>
      <c r="E196" s="21" t="s">
        <v>8</v>
      </c>
      <c r="F196" s="21" t="s">
        <v>9</v>
      </c>
      <c r="G196" s="21" t="s">
        <v>422</v>
      </c>
      <c r="H196" s="21"/>
    </row>
    <row r="197" spans="1:8">
      <c r="A197" s="21">
        <v>8009952</v>
      </c>
      <c r="B197" s="21" t="s">
        <v>570</v>
      </c>
      <c r="C197" s="21" t="s">
        <v>571</v>
      </c>
      <c r="D197" s="21">
        <v>1960</v>
      </c>
      <c r="E197" s="21" t="s">
        <v>172</v>
      </c>
      <c r="F197" s="21" t="s">
        <v>173</v>
      </c>
      <c r="G197" s="21" t="s">
        <v>451</v>
      </c>
      <c r="H197" s="21">
        <v>15296</v>
      </c>
    </row>
    <row r="198" spans="1:8">
      <c r="A198" s="21">
        <v>8519732</v>
      </c>
      <c r="B198" s="21" t="s">
        <v>158</v>
      </c>
      <c r="C198" s="21" t="s">
        <v>159</v>
      </c>
      <c r="D198" s="21">
        <v>1962</v>
      </c>
      <c r="E198" s="21" t="s">
        <v>55</v>
      </c>
      <c r="F198" s="21" t="s">
        <v>56</v>
      </c>
      <c r="G198" s="21" t="s">
        <v>10</v>
      </c>
      <c r="H198" s="21">
        <v>2252</v>
      </c>
    </row>
    <row r="199" spans="1:8">
      <c r="A199" s="21">
        <v>8002356</v>
      </c>
      <c r="B199" s="21" t="s">
        <v>160</v>
      </c>
      <c r="C199" s="21" t="s">
        <v>118</v>
      </c>
      <c r="D199" s="21">
        <v>1964</v>
      </c>
      <c r="E199" s="21" t="s">
        <v>116</v>
      </c>
      <c r="F199" s="21" t="s">
        <v>117</v>
      </c>
      <c r="G199" s="21" t="s">
        <v>10</v>
      </c>
      <c r="H199" s="21">
        <v>13491</v>
      </c>
    </row>
    <row r="200" spans="1:8">
      <c r="A200" s="21">
        <v>8002355</v>
      </c>
      <c r="B200" s="21" t="s">
        <v>160</v>
      </c>
      <c r="C200" s="21" t="s">
        <v>515</v>
      </c>
      <c r="D200" s="21">
        <v>1970</v>
      </c>
      <c r="E200" s="21" t="s">
        <v>116</v>
      </c>
      <c r="F200" s="21" t="s">
        <v>117</v>
      </c>
      <c r="G200" s="21" t="s">
        <v>815</v>
      </c>
      <c r="H200" s="21">
        <v>16950</v>
      </c>
    </row>
    <row r="201" spans="1:8">
      <c r="A201" s="21"/>
      <c r="B201" s="21" t="s">
        <v>351</v>
      </c>
      <c r="C201" s="21" t="s">
        <v>84</v>
      </c>
      <c r="D201" s="21">
        <v>1990</v>
      </c>
      <c r="E201" s="21" t="s">
        <v>8</v>
      </c>
      <c r="F201" s="21" t="s">
        <v>9</v>
      </c>
      <c r="G201" s="21" t="s">
        <v>300</v>
      </c>
      <c r="H201" s="21"/>
    </row>
    <row r="202" spans="1:8">
      <c r="A202" s="21">
        <v>2037868</v>
      </c>
      <c r="B202" s="21" t="s">
        <v>572</v>
      </c>
      <c r="C202" s="21" t="s">
        <v>413</v>
      </c>
      <c r="D202" s="21">
        <v>1977</v>
      </c>
      <c r="E202" s="21" t="s">
        <v>47</v>
      </c>
      <c r="F202" s="21" t="s">
        <v>48</v>
      </c>
      <c r="G202" s="21" t="s">
        <v>451</v>
      </c>
      <c r="H202" s="21">
        <v>25891</v>
      </c>
    </row>
    <row r="203" spans="1:8">
      <c r="A203" s="21"/>
      <c r="B203" s="21" t="s">
        <v>161</v>
      </c>
      <c r="C203" s="21" t="s">
        <v>162</v>
      </c>
      <c r="D203" s="21">
        <v>2007</v>
      </c>
      <c r="E203" s="21" t="s">
        <v>47</v>
      </c>
      <c r="F203" s="21" t="s">
        <v>48</v>
      </c>
      <c r="G203" s="21" t="s">
        <v>10</v>
      </c>
      <c r="H203" s="21">
        <v>27020</v>
      </c>
    </row>
    <row r="204" spans="1:8">
      <c r="A204" s="21">
        <v>8059006</v>
      </c>
      <c r="B204" s="21" t="s">
        <v>163</v>
      </c>
      <c r="C204" s="21" t="s">
        <v>43</v>
      </c>
      <c r="D204" s="21">
        <v>1979</v>
      </c>
      <c r="E204" s="21" t="s">
        <v>40</v>
      </c>
      <c r="F204" s="21" t="s">
        <v>41</v>
      </c>
      <c r="G204" s="21" t="s">
        <v>10</v>
      </c>
      <c r="H204" s="21">
        <v>24196</v>
      </c>
    </row>
    <row r="205" spans="1:8">
      <c r="A205" s="21">
        <v>8256555</v>
      </c>
      <c r="B205" s="21" t="s">
        <v>164</v>
      </c>
      <c r="C205" s="21" t="s">
        <v>165</v>
      </c>
      <c r="D205" s="21">
        <v>2000</v>
      </c>
      <c r="E205" s="21" t="s">
        <v>55</v>
      </c>
      <c r="F205" s="21" t="s">
        <v>56</v>
      </c>
      <c r="G205" s="21" t="s">
        <v>10</v>
      </c>
      <c r="H205" s="21">
        <v>15019</v>
      </c>
    </row>
    <row r="206" spans="1:8">
      <c r="A206" s="21">
        <v>1710962</v>
      </c>
      <c r="B206" s="21" t="s">
        <v>164</v>
      </c>
      <c r="C206" s="21" t="s">
        <v>342</v>
      </c>
      <c r="D206" s="21">
        <v>1962</v>
      </c>
      <c r="E206" s="21" t="s">
        <v>55</v>
      </c>
      <c r="F206" s="21" t="s">
        <v>56</v>
      </c>
      <c r="G206" s="21" t="s">
        <v>451</v>
      </c>
      <c r="H206" s="21">
        <v>15015</v>
      </c>
    </row>
    <row r="207" spans="1:8">
      <c r="A207" s="21">
        <v>8001996</v>
      </c>
      <c r="B207" s="21" t="s">
        <v>164</v>
      </c>
      <c r="C207" s="21" t="s">
        <v>340</v>
      </c>
      <c r="D207" s="21">
        <v>1996</v>
      </c>
      <c r="E207" s="21" t="s">
        <v>55</v>
      </c>
      <c r="F207" s="21" t="s">
        <v>56</v>
      </c>
      <c r="G207" s="21" t="s">
        <v>625</v>
      </c>
      <c r="H207" s="21">
        <v>15018</v>
      </c>
    </row>
    <row r="208" spans="1:8">
      <c r="A208" s="21">
        <v>8512092</v>
      </c>
      <c r="B208" s="21" t="s">
        <v>475</v>
      </c>
      <c r="C208" s="21" t="s">
        <v>476</v>
      </c>
      <c r="D208" s="21">
        <v>1982</v>
      </c>
      <c r="E208" s="21" t="s">
        <v>89</v>
      </c>
      <c r="F208" s="21" t="s">
        <v>90</v>
      </c>
      <c r="G208" s="21" t="s">
        <v>422</v>
      </c>
      <c r="H208" s="21">
        <v>896</v>
      </c>
    </row>
    <row r="209" spans="1:8">
      <c r="A209" s="21">
        <v>1590819</v>
      </c>
      <c r="B209" s="21" t="s">
        <v>651</v>
      </c>
      <c r="C209" s="21" t="s">
        <v>652</v>
      </c>
      <c r="D209" s="21">
        <v>2006</v>
      </c>
      <c r="E209" s="21" t="s">
        <v>156</v>
      </c>
      <c r="F209" s="21" t="s">
        <v>157</v>
      </c>
      <c r="G209" s="21" t="s">
        <v>625</v>
      </c>
      <c r="H209" s="21">
        <v>43555</v>
      </c>
    </row>
    <row r="210" spans="1:8">
      <c r="A210" s="21">
        <v>34703</v>
      </c>
      <c r="B210" s="21" t="s">
        <v>653</v>
      </c>
      <c r="C210" s="21" t="s">
        <v>131</v>
      </c>
      <c r="D210" s="21">
        <v>1954</v>
      </c>
      <c r="E210" s="21" t="s">
        <v>111</v>
      </c>
      <c r="F210" s="21" t="s">
        <v>112</v>
      </c>
      <c r="G210" s="21" t="s">
        <v>625</v>
      </c>
      <c r="H210" s="21">
        <v>1984</v>
      </c>
    </row>
    <row r="211" spans="1:8">
      <c r="A211" s="21">
        <v>228360</v>
      </c>
      <c r="B211" s="21" t="s">
        <v>653</v>
      </c>
      <c r="C211" s="21" t="s">
        <v>722</v>
      </c>
      <c r="D211" s="21">
        <v>1960</v>
      </c>
      <c r="E211" s="21" t="s">
        <v>111</v>
      </c>
      <c r="F211" s="21" t="s">
        <v>112</v>
      </c>
      <c r="G211" s="21" t="s">
        <v>310</v>
      </c>
      <c r="H211" s="21">
        <v>1981</v>
      </c>
    </row>
    <row r="212" spans="1:8">
      <c r="A212" s="21">
        <v>8159018</v>
      </c>
      <c r="B212" s="21" t="s">
        <v>166</v>
      </c>
      <c r="C212" s="21" t="s">
        <v>167</v>
      </c>
      <c r="D212" s="21">
        <v>1997</v>
      </c>
      <c r="E212" s="21" t="s">
        <v>156</v>
      </c>
      <c r="F212" s="21" t="s">
        <v>157</v>
      </c>
      <c r="G212" s="21" t="s">
        <v>10</v>
      </c>
      <c r="H212" s="21">
        <v>24070</v>
      </c>
    </row>
    <row r="213" spans="1:8">
      <c r="A213" s="21">
        <v>9001020</v>
      </c>
      <c r="B213" s="21" t="s">
        <v>573</v>
      </c>
      <c r="C213" s="21" t="s">
        <v>210</v>
      </c>
      <c r="D213" s="21">
        <v>1949</v>
      </c>
      <c r="E213" s="21" t="s">
        <v>47</v>
      </c>
      <c r="F213" s="21" t="s">
        <v>48</v>
      </c>
      <c r="G213" s="21" t="s">
        <v>451</v>
      </c>
      <c r="H213" s="21">
        <v>2146</v>
      </c>
    </row>
    <row r="214" spans="1:8">
      <c r="A214" s="21">
        <v>7180997</v>
      </c>
      <c r="B214" s="21" t="s">
        <v>168</v>
      </c>
      <c r="C214" s="21" t="s">
        <v>169</v>
      </c>
      <c r="D214" s="21">
        <v>1997</v>
      </c>
      <c r="E214" s="21" t="s">
        <v>8</v>
      </c>
      <c r="F214" s="21" t="s">
        <v>9</v>
      </c>
      <c r="G214" s="21" t="s">
        <v>10</v>
      </c>
      <c r="H214" s="21"/>
    </row>
    <row r="215" spans="1:8">
      <c r="A215" s="21"/>
      <c r="B215" s="21" t="s">
        <v>168</v>
      </c>
      <c r="C215" s="21" t="s">
        <v>757</v>
      </c>
      <c r="D215" s="21">
        <v>1958</v>
      </c>
      <c r="E215" s="21" t="s">
        <v>718</v>
      </c>
      <c r="F215" s="21" t="s">
        <v>719</v>
      </c>
      <c r="G215" s="21" t="s">
        <v>752</v>
      </c>
      <c r="H215" s="21"/>
    </row>
    <row r="216" spans="1:8">
      <c r="A216" s="21">
        <v>8002136</v>
      </c>
      <c r="B216" s="21" t="s">
        <v>170</v>
      </c>
      <c r="C216" s="21" t="s">
        <v>171</v>
      </c>
      <c r="D216" s="21">
        <v>1964</v>
      </c>
      <c r="E216" s="21" t="s">
        <v>172</v>
      </c>
      <c r="F216" s="21" t="s">
        <v>173</v>
      </c>
      <c r="G216" s="21" t="s">
        <v>10</v>
      </c>
      <c r="H216" s="21">
        <v>20048</v>
      </c>
    </row>
    <row r="217" spans="1:8">
      <c r="A217" s="21">
        <v>2027612</v>
      </c>
      <c r="B217" s="21" t="s">
        <v>574</v>
      </c>
      <c r="C217" s="21" t="s">
        <v>575</v>
      </c>
      <c r="D217" s="21">
        <v>1999</v>
      </c>
      <c r="E217" s="21" t="s">
        <v>8</v>
      </c>
      <c r="F217" s="21" t="s">
        <v>9</v>
      </c>
      <c r="G217" s="21" t="s">
        <v>451</v>
      </c>
      <c r="H217" s="21"/>
    </row>
    <row r="218" spans="1:8">
      <c r="A218" s="21">
        <v>8072008</v>
      </c>
      <c r="B218" s="21" t="s">
        <v>576</v>
      </c>
      <c r="C218" s="21" t="s">
        <v>577</v>
      </c>
      <c r="D218" s="21">
        <v>2008</v>
      </c>
      <c r="E218" s="21" t="s">
        <v>8</v>
      </c>
      <c r="F218" s="21" t="s">
        <v>9</v>
      </c>
      <c r="G218" s="21" t="s">
        <v>451</v>
      </c>
      <c r="H218" s="21"/>
    </row>
    <row r="219" spans="1:8">
      <c r="A219" s="21">
        <v>8009960</v>
      </c>
      <c r="B219" s="21" t="s">
        <v>174</v>
      </c>
      <c r="C219" s="21" t="s">
        <v>46</v>
      </c>
      <c r="D219" s="21">
        <v>1998</v>
      </c>
      <c r="E219" s="21" t="s">
        <v>85</v>
      </c>
      <c r="F219" s="21" t="s">
        <v>86</v>
      </c>
      <c r="G219" s="21" t="s">
        <v>10</v>
      </c>
      <c r="H219" s="21">
        <v>32784</v>
      </c>
    </row>
    <row r="220" spans="1:8">
      <c r="A220" s="21">
        <v>8130377</v>
      </c>
      <c r="B220" s="21" t="s">
        <v>175</v>
      </c>
      <c r="C220" s="21" t="s">
        <v>31</v>
      </c>
      <c r="D220" s="21">
        <v>1963</v>
      </c>
      <c r="E220" s="21" t="s">
        <v>47</v>
      </c>
      <c r="F220" s="21" t="s">
        <v>48</v>
      </c>
      <c r="G220" s="21" t="s">
        <v>10</v>
      </c>
      <c r="H220" s="21">
        <v>7610</v>
      </c>
    </row>
    <row r="221" spans="1:8">
      <c r="A221" s="21">
        <v>8300170</v>
      </c>
      <c r="B221" s="21" t="s">
        <v>578</v>
      </c>
      <c r="C221" s="21" t="s">
        <v>322</v>
      </c>
      <c r="D221" s="21">
        <v>1970</v>
      </c>
      <c r="E221" s="21" t="s">
        <v>484</v>
      </c>
      <c r="F221" s="21" t="s">
        <v>485</v>
      </c>
      <c r="G221" s="21" t="s">
        <v>451</v>
      </c>
      <c r="H221" s="21">
        <v>1384</v>
      </c>
    </row>
    <row r="222" spans="1:8">
      <c r="A222" s="21">
        <v>9191091</v>
      </c>
      <c r="B222" s="21" t="s">
        <v>352</v>
      </c>
      <c r="C222" s="21" t="s">
        <v>353</v>
      </c>
      <c r="D222" s="21">
        <v>1955</v>
      </c>
      <c r="E222" s="21" t="s">
        <v>29</v>
      </c>
      <c r="F222" s="21" t="s">
        <v>30</v>
      </c>
      <c r="G222" s="21" t="s">
        <v>300</v>
      </c>
      <c r="H222" s="21">
        <v>13784</v>
      </c>
    </row>
    <row r="223" spans="1:8">
      <c r="A223" s="21">
        <v>680310</v>
      </c>
      <c r="B223" s="21" t="s">
        <v>654</v>
      </c>
      <c r="C223" s="21" t="s">
        <v>655</v>
      </c>
      <c r="D223" s="21">
        <v>1998</v>
      </c>
      <c r="E223" s="21" t="s">
        <v>228</v>
      </c>
      <c r="F223" s="21" t="s">
        <v>229</v>
      </c>
      <c r="G223" s="21" t="s">
        <v>625</v>
      </c>
      <c r="H223" s="21">
        <v>37646</v>
      </c>
    </row>
    <row r="224" spans="1:8">
      <c r="A224" s="21">
        <v>1049001</v>
      </c>
      <c r="B224" s="21" t="s">
        <v>354</v>
      </c>
      <c r="C224" s="21" t="s">
        <v>355</v>
      </c>
      <c r="D224" s="21">
        <v>1995</v>
      </c>
      <c r="E224" s="21" t="s">
        <v>8</v>
      </c>
      <c r="F224" s="21" t="s">
        <v>9</v>
      </c>
      <c r="G224" s="21" t="s">
        <v>300</v>
      </c>
      <c r="H224" s="21"/>
    </row>
    <row r="225" spans="1:8">
      <c r="A225" s="21">
        <v>9910912</v>
      </c>
      <c r="B225" s="21" t="s">
        <v>176</v>
      </c>
      <c r="C225" s="21" t="s">
        <v>7</v>
      </c>
      <c r="D225" s="21">
        <v>1991</v>
      </c>
      <c r="E225" s="21" t="s">
        <v>8</v>
      </c>
      <c r="F225" s="21" t="s">
        <v>9</v>
      </c>
      <c r="G225" s="21" t="s">
        <v>10</v>
      </c>
      <c r="H225" s="21"/>
    </row>
    <row r="226" spans="1:8">
      <c r="A226" s="21">
        <v>2015880</v>
      </c>
      <c r="B226" s="21" t="s">
        <v>723</v>
      </c>
      <c r="C226" s="21" t="s">
        <v>724</v>
      </c>
      <c r="D226" s="21">
        <v>2011</v>
      </c>
      <c r="E226" s="21" t="s">
        <v>29</v>
      </c>
      <c r="F226" s="21" t="s">
        <v>30</v>
      </c>
      <c r="G226" s="21" t="s">
        <v>310</v>
      </c>
      <c r="H226" s="21">
        <v>45489</v>
      </c>
    </row>
    <row r="227" spans="1:8">
      <c r="A227" s="21">
        <v>2158021</v>
      </c>
      <c r="B227" s="21" t="s">
        <v>579</v>
      </c>
      <c r="C227" s="21" t="s">
        <v>324</v>
      </c>
      <c r="D227" s="21">
        <v>1990</v>
      </c>
      <c r="E227" s="21" t="s">
        <v>47</v>
      </c>
      <c r="F227" s="21" t="s">
        <v>48</v>
      </c>
      <c r="G227" s="21" t="s">
        <v>451</v>
      </c>
      <c r="H227" s="21">
        <v>45088</v>
      </c>
    </row>
    <row r="228" spans="1:8">
      <c r="A228" s="21">
        <v>8080589</v>
      </c>
      <c r="B228" s="21" t="s">
        <v>177</v>
      </c>
      <c r="C228" s="21" t="s">
        <v>178</v>
      </c>
      <c r="D228" s="21">
        <v>1991</v>
      </c>
      <c r="E228" s="21" t="s">
        <v>8</v>
      </c>
      <c r="F228" s="21" t="s">
        <v>9</v>
      </c>
      <c r="G228" s="21" t="s">
        <v>10</v>
      </c>
      <c r="H228" s="21"/>
    </row>
    <row r="229" spans="1:8">
      <c r="A229" s="21">
        <v>8009915</v>
      </c>
      <c r="B229" s="21" t="s">
        <v>580</v>
      </c>
      <c r="C229" s="21" t="s">
        <v>581</v>
      </c>
      <c r="D229" s="21">
        <v>1968</v>
      </c>
      <c r="E229" s="21" t="s">
        <v>34</v>
      </c>
      <c r="F229" s="21" t="s">
        <v>35</v>
      </c>
      <c r="G229" s="21" t="s">
        <v>451</v>
      </c>
      <c r="H229" s="21">
        <v>9597</v>
      </c>
    </row>
    <row r="230" spans="1:8">
      <c r="A230" s="21">
        <v>1780772</v>
      </c>
      <c r="B230" s="21" t="s">
        <v>477</v>
      </c>
      <c r="C230" s="21" t="s">
        <v>94</v>
      </c>
      <c r="D230" s="21">
        <v>1971</v>
      </c>
      <c r="E230" s="21" t="s">
        <v>34</v>
      </c>
      <c r="F230" s="21" t="s">
        <v>35</v>
      </c>
      <c r="G230" s="21" t="s">
        <v>422</v>
      </c>
      <c r="H230" s="21">
        <v>10693</v>
      </c>
    </row>
    <row r="231" spans="1:8">
      <c r="A231" s="21">
        <v>8009904</v>
      </c>
      <c r="B231" s="21" t="s">
        <v>478</v>
      </c>
      <c r="C231" s="21" t="s">
        <v>479</v>
      </c>
      <c r="D231" s="21">
        <v>2007</v>
      </c>
      <c r="E231" s="21" t="s">
        <v>34</v>
      </c>
      <c r="F231" s="21" t="s">
        <v>35</v>
      </c>
      <c r="G231" s="21" t="s">
        <v>422</v>
      </c>
      <c r="H231" s="21">
        <v>27719</v>
      </c>
    </row>
    <row r="232" spans="1:8">
      <c r="A232" s="21">
        <v>9925740</v>
      </c>
      <c r="B232" s="21" t="s">
        <v>582</v>
      </c>
      <c r="C232" s="21" t="s">
        <v>114</v>
      </c>
      <c r="D232" s="21">
        <v>1957</v>
      </c>
      <c r="E232" s="21" t="s">
        <v>386</v>
      </c>
      <c r="F232" s="21" t="s">
        <v>387</v>
      </c>
      <c r="G232" s="21" t="s">
        <v>451</v>
      </c>
      <c r="H232" s="21">
        <v>4581</v>
      </c>
    </row>
    <row r="233" spans="1:8">
      <c r="A233" s="21"/>
      <c r="B233" s="21" t="s">
        <v>656</v>
      </c>
      <c r="C233" s="21" t="s">
        <v>657</v>
      </c>
      <c r="D233" s="21">
        <v>1991</v>
      </c>
      <c r="E233" s="21" t="s">
        <v>8</v>
      </c>
      <c r="F233" s="21" t="s">
        <v>9</v>
      </c>
      <c r="G233" s="21" t="s">
        <v>625</v>
      </c>
      <c r="H233" s="21"/>
    </row>
    <row r="234" spans="1:8">
      <c r="A234" s="21">
        <v>8105175</v>
      </c>
      <c r="B234" s="21" t="s">
        <v>583</v>
      </c>
      <c r="C234" s="21" t="s">
        <v>584</v>
      </c>
      <c r="D234" s="21">
        <v>1973</v>
      </c>
      <c r="E234" s="21" t="s">
        <v>47</v>
      </c>
      <c r="F234" s="21" t="s">
        <v>48</v>
      </c>
      <c r="G234" s="21" t="s">
        <v>451</v>
      </c>
      <c r="H234" s="21">
        <v>38486</v>
      </c>
    </row>
    <row r="235" spans="1:8">
      <c r="A235" s="21">
        <v>7910002</v>
      </c>
      <c r="B235" s="21" t="s">
        <v>179</v>
      </c>
      <c r="C235" s="21" t="s">
        <v>180</v>
      </c>
      <c r="D235" s="21">
        <v>1976</v>
      </c>
      <c r="E235" s="21" t="s">
        <v>29</v>
      </c>
      <c r="F235" s="21" t="s">
        <v>30</v>
      </c>
      <c r="G235" s="21" t="s">
        <v>10</v>
      </c>
      <c r="H235" s="21">
        <v>43397</v>
      </c>
    </row>
    <row r="236" spans="1:8">
      <c r="A236" s="21">
        <v>1205807</v>
      </c>
      <c r="B236" s="21" t="s">
        <v>179</v>
      </c>
      <c r="C236" s="21" t="s">
        <v>585</v>
      </c>
      <c r="D236" s="21">
        <v>2007</v>
      </c>
      <c r="E236" s="21" t="s">
        <v>29</v>
      </c>
      <c r="F236" s="21" t="s">
        <v>30</v>
      </c>
      <c r="G236" s="21" t="s">
        <v>451</v>
      </c>
      <c r="H236" s="21">
        <v>43398</v>
      </c>
    </row>
    <row r="237" spans="1:8">
      <c r="A237" s="21">
        <v>8162051</v>
      </c>
      <c r="B237" s="21" t="s">
        <v>777</v>
      </c>
      <c r="C237" s="21" t="s">
        <v>778</v>
      </c>
      <c r="D237" s="21">
        <v>1999</v>
      </c>
      <c r="E237" s="21" t="s">
        <v>69</v>
      </c>
      <c r="F237" s="21" t="s">
        <v>70</v>
      </c>
      <c r="G237" s="21" t="s">
        <v>815</v>
      </c>
      <c r="H237" s="21">
        <v>29467</v>
      </c>
    </row>
    <row r="238" spans="1:8">
      <c r="A238" s="21"/>
      <c r="B238" s="21" t="s">
        <v>480</v>
      </c>
      <c r="C238" s="21" t="s">
        <v>340</v>
      </c>
      <c r="D238" s="21">
        <v>1979</v>
      </c>
      <c r="E238" s="21" t="s">
        <v>8</v>
      </c>
      <c r="F238" s="21" t="s">
        <v>9</v>
      </c>
      <c r="G238" s="21" t="s">
        <v>422</v>
      </c>
      <c r="H238" s="21"/>
    </row>
    <row r="239" spans="1:8">
      <c r="A239" s="21"/>
      <c r="B239" s="21" t="s">
        <v>725</v>
      </c>
      <c r="C239" s="21" t="s">
        <v>726</v>
      </c>
      <c r="D239" s="21">
        <v>1996</v>
      </c>
      <c r="E239" s="21" t="s">
        <v>415</v>
      </c>
      <c r="F239" s="21" t="s">
        <v>416</v>
      </c>
      <c r="G239" s="21" t="s">
        <v>310</v>
      </c>
      <c r="H239" s="21">
        <v>845209</v>
      </c>
    </row>
    <row r="240" spans="1:8">
      <c r="A240" s="21"/>
      <c r="B240" s="21" t="s">
        <v>481</v>
      </c>
      <c r="C240" s="21" t="s">
        <v>244</v>
      </c>
      <c r="D240" s="21">
        <v>1987</v>
      </c>
      <c r="E240" s="21" t="s">
        <v>8</v>
      </c>
      <c r="F240" s="21" t="s">
        <v>9</v>
      </c>
      <c r="G240" s="21" t="s">
        <v>422</v>
      </c>
      <c r="H240" s="21"/>
    </row>
    <row r="241" spans="1:8">
      <c r="A241" s="21">
        <v>228358</v>
      </c>
      <c r="B241" s="21" t="s">
        <v>727</v>
      </c>
      <c r="C241" s="21" t="s">
        <v>728</v>
      </c>
      <c r="D241" s="21">
        <v>1959</v>
      </c>
      <c r="E241" s="21" t="s">
        <v>89</v>
      </c>
      <c r="F241" s="21" t="s">
        <v>90</v>
      </c>
      <c r="G241" s="21" t="s">
        <v>310</v>
      </c>
      <c r="H241" s="21">
        <v>840871</v>
      </c>
    </row>
    <row r="242" spans="1:8">
      <c r="A242" s="21"/>
      <c r="B242" s="21" t="s">
        <v>729</v>
      </c>
      <c r="C242" s="21" t="s">
        <v>596</v>
      </c>
      <c r="D242" s="21">
        <v>1967</v>
      </c>
      <c r="E242" s="21" t="s">
        <v>718</v>
      </c>
      <c r="F242" s="21" t="s">
        <v>719</v>
      </c>
      <c r="G242" s="21" t="s">
        <v>310</v>
      </c>
      <c r="H242" s="21"/>
    </row>
    <row r="243" spans="1:8">
      <c r="A243" s="21">
        <v>8003203</v>
      </c>
      <c r="B243" s="21" t="s">
        <v>356</v>
      </c>
      <c r="C243" s="21" t="s">
        <v>12</v>
      </c>
      <c r="D243" s="21">
        <v>1987</v>
      </c>
      <c r="E243" s="21" t="s">
        <v>61</v>
      </c>
      <c r="F243" s="21" t="s">
        <v>62</v>
      </c>
      <c r="G243" s="21" t="s">
        <v>300</v>
      </c>
      <c r="H243" s="21">
        <v>23446</v>
      </c>
    </row>
    <row r="244" spans="1:8">
      <c r="A244" s="21">
        <v>8258970</v>
      </c>
      <c r="B244" s="21" t="s">
        <v>181</v>
      </c>
      <c r="C244" s="21" t="s">
        <v>357</v>
      </c>
      <c r="D244" s="21">
        <v>1970</v>
      </c>
      <c r="E244" s="21" t="s">
        <v>183</v>
      </c>
      <c r="F244" s="21" t="s">
        <v>184</v>
      </c>
      <c r="G244" s="21" t="s">
        <v>300</v>
      </c>
      <c r="H244" s="21">
        <v>19391</v>
      </c>
    </row>
    <row r="245" spans="1:8">
      <c r="A245" s="21">
        <v>8241267</v>
      </c>
      <c r="B245" s="21" t="s">
        <v>181</v>
      </c>
      <c r="C245" s="21" t="s">
        <v>182</v>
      </c>
      <c r="D245" s="21">
        <v>1967</v>
      </c>
      <c r="E245" s="21" t="s">
        <v>183</v>
      </c>
      <c r="F245" s="21" t="s">
        <v>184</v>
      </c>
      <c r="G245" s="21" t="s">
        <v>10</v>
      </c>
      <c r="H245" s="21">
        <v>19390</v>
      </c>
    </row>
    <row r="246" spans="1:8">
      <c r="A246" s="21">
        <v>9001900</v>
      </c>
      <c r="B246" s="21" t="s">
        <v>181</v>
      </c>
      <c r="C246" s="21" t="s">
        <v>482</v>
      </c>
      <c r="D246" s="21">
        <v>1996</v>
      </c>
      <c r="E246" s="21" t="s">
        <v>183</v>
      </c>
      <c r="F246" s="21" t="s">
        <v>184</v>
      </c>
      <c r="G246" s="21" t="s">
        <v>422</v>
      </c>
      <c r="H246" s="21">
        <v>27711</v>
      </c>
    </row>
    <row r="247" spans="1:8">
      <c r="A247" s="21">
        <v>2150975</v>
      </c>
      <c r="B247" s="21" t="s">
        <v>658</v>
      </c>
      <c r="C247" s="21" t="s">
        <v>263</v>
      </c>
      <c r="D247" s="21">
        <v>2010</v>
      </c>
      <c r="E247" s="21" t="s">
        <v>47</v>
      </c>
      <c r="F247" s="21" t="s">
        <v>48</v>
      </c>
      <c r="G247" s="21" t="s">
        <v>625</v>
      </c>
      <c r="H247" s="21">
        <v>41367</v>
      </c>
    </row>
    <row r="248" spans="1:8">
      <c r="A248" s="21">
        <v>8660063</v>
      </c>
      <c r="B248" s="21" t="s">
        <v>185</v>
      </c>
      <c r="C248" s="21" t="s">
        <v>186</v>
      </c>
      <c r="D248" s="21">
        <v>2004</v>
      </c>
      <c r="E248" s="21" t="s">
        <v>89</v>
      </c>
      <c r="F248" s="21" t="s">
        <v>90</v>
      </c>
      <c r="G248" s="21" t="s">
        <v>10</v>
      </c>
      <c r="H248" s="21">
        <v>31905</v>
      </c>
    </row>
    <row r="249" spans="1:8">
      <c r="A249" s="21">
        <v>8488585</v>
      </c>
      <c r="B249" s="21" t="s">
        <v>185</v>
      </c>
      <c r="C249" s="21" t="s">
        <v>402</v>
      </c>
      <c r="D249" s="21">
        <v>1969</v>
      </c>
      <c r="E249" s="21" t="s">
        <v>89</v>
      </c>
      <c r="F249" s="21" t="s">
        <v>90</v>
      </c>
      <c r="G249" s="21" t="s">
        <v>422</v>
      </c>
      <c r="H249" s="21">
        <v>32962</v>
      </c>
    </row>
    <row r="250" spans="1:8">
      <c r="A250" s="21">
        <v>8080664</v>
      </c>
      <c r="B250" s="21" t="s">
        <v>187</v>
      </c>
      <c r="C250" s="21" t="s">
        <v>188</v>
      </c>
      <c r="D250" s="21">
        <v>1964</v>
      </c>
      <c r="E250" s="21" t="s">
        <v>189</v>
      </c>
      <c r="F250" s="21" t="s">
        <v>190</v>
      </c>
      <c r="G250" s="21" t="s">
        <v>10</v>
      </c>
      <c r="H250" s="21">
        <v>26531</v>
      </c>
    </row>
    <row r="251" spans="1:8">
      <c r="A251" s="21">
        <v>9783553</v>
      </c>
      <c r="B251" s="21" t="s">
        <v>191</v>
      </c>
      <c r="C251" s="21" t="s">
        <v>78</v>
      </c>
      <c r="D251" s="21">
        <v>1982</v>
      </c>
      <c r="E251" s="21" t="s">
        <v>34</v>
      </c>
      <c r="F251" s="21" t="s">
        <v>35</v>
      </c>
      <c r="G251" s="21" t="s">
        <v>10</v>
      </c>
      <c r="H251" s="21">
        <v>23652</v>
      </c>
    </row>
    <row r="252" spans="1:8">
      <c r="A252" s="21">
        <v>7001023</v>
      </c>
      <c r="B252" s="21" t="s">
        <v>192</v>
      </c>
      <c r="C252" s="21" t="s">
        <v>193</v>
      </c>
      <c r="D252" s="21">
        <v>1976</v>
      </c>
      <c r="E252" s="21" t="s">
        <v>8</v>
      </c>
      <c r="F252" s="21" t="s">
        <v>9</v>
      </c>
      <c r="G252" s="21" t="s">
        <v>10</v>
      </c>
      <c r="H252" s="21"/>
    </row>
    <row r="253" spans="1:8">
      <c r="A253" s="21"/>
      <c r="B253" s="21" t="s">
        <v>730</v>
      </c>
      <c r="C253" s="21" t="s">
        <v>731</v>
      </c>
      <c r="D253" s="21">
        <v>1990</v>
      </c>
      <c r="E253" s="21" t="s">
        <v>415</v>
      </c>
      <c r="F253" s="21" t="s">
        <v>416</v>
      </c>
      <c r="G253" s="21" t="s">
        <v>310</v>
      </c>
      <c r="H253" s="21">
        <v>845090</v>
      </c>
    </row>
    <row r="254" spans="1:8">
      <c r="A254" s="21"/>
      <c r="B254" s="21" t="s">
        <v>732</v>
      </c>
      <c r="C254" s="21" t="s">
        <v>78</v>
      </c>
      <c r="D254" s="21">
        <v>1992</v>
      </c>
      <c r="E254" s="21" t="s">
        <v>415</v>
      </c>
      <c r="F254" s="21" t="s">
        <v>416</v>
      </c>
      <c r="G254" s="21" t="s">
        <v>310</v>
      </c>
      <c r="H254" s="21">
        <v>845210</v>
      </c>
    </row>
    <row r="255" spans="1:8">
      <c r="A255" s="21">
        <v>8456101</v>
      </c>
      <c r="B255" s="21" t="s">
        <v>194</v>
      </c>
      <c r="C255" s="21" t="s">
        <v>46</v>
      </c>
      <c r="D255" s="21">
        <v>1993</v>
      </c>
      <c r="E255" s="21" t="s">
        <v>156</v>
      </c>
      <c r="F255" s="21" t="s">
        <v>157</v>
      </c>
      <c r="G255" s="21" t="s">
        <v>10</v>
      </c>
      <c r="H255" s="21">
        <v>33757</v>
      </c>
    </row>
    <row r="256" spans="1:8">
      <c r="A256" s="21">
        <v>8030461</v>
      </c>
      <c r="B256" s="21" t="s">
        <v>358</v>
      </c>
      <c r="C256" s="21" t="s">
        <v>235</v>
      </c>
      <c r="D256" s="21">
        <v>1961</v>
      </c>
      <c r="E256" s="21" t="s">
        <v>290</v>
      </c>
      <c r="F256" s="21" t="s">
        <v>291</v>
      </c>
      <c r="G256" s="21" t="s">
        <v>300</v>
      </c>
      <c r="H256" s="21">
        <v>8081</v>
      </c>
    </row>
    <row r="257" spans="1:8">
      <c r="A257" s="21">
        <v>8140602</v>
      </c>
      <c r="B257" s="21" t="s">
        <v>586</v>
      </c>
      <c r="C257" s="21" t="s">
        <v>497</v>
      </c>
      <c r="D257" s="21">
        <v>1996</v>
      </c>
      <c r="E257" s="21" t="s">
        <v>106</v>
      </c>
      <c r="F257" s="21" t="s">
        <v>107</v>
      </c>
      <c r="G257" s="21" t="s">
        <v>451</v>
      </c>
      <c r="H257" s="21">
        <v>35038</v>
      </c>
    </row>
    <row r="258" spans="1:8">
      <c r="A258" s="21">
        <v>8099032</v>
      </c>
      <c r="B258" s="21" t="s">
        <v>195</v>
      </c>
      <c r="C258" s="21" t="s">
        <v>20</v>
      </c>
      <c r="D258" s="21">
        <v>1965</v>
      </c>
      <c r="E258" s="21" t="s">
        <v>29</v>
      </c>
      <c r="F258" s="21" t="s">
        <v>30</v>
      </c>
      <c r="G258" s="21" t="s">
        <v>10</v>
      </c>
      <c r="H258" s="21">
        <v>1365</v>
      </c>
    </row>
    <row r="259" spans="1:8">
      <c r="A259" s="21">
        <v>8004808</v>
      </c>
      <c r="B259" s="21" t="s">
        <v>779</v>
      </c>
      <c r="C259" s="21" t="s">
        <v>740</v>
      </c>
      <c r="D259" s="21">
        <v>1978</v>
      </c>
      <c r="E259" s="21" t="s">
        <v>116</v>
      </c>
      <c r="F259" s="21" t="s">
        <v>117</v>
      </c>
      <c r="G259" s="21" t="s">
        <v>815</v>
      </c>
      <c r="H259" s="21">
        <v>25405</v>
      </c>
    </row>
    <row r="260" spans="1:8">
      <c r="A260" s="21">
        <v>34754</v>
      </c>
      <c r="B260" s="21" t="s">
        <v>483</v>
      </c>
      <c r="C260" s="21" t="s">
        <v>110</v>
      </c>
      <c r="D260" s="21">
        <v>1955</v>
      </c>
      <c r="E260" s="21" t="s">
        <v>484</v>
      </c>
      <c r="F260" s="21" t="s">
        <v>485</v>
      </c>
      <c r="G260" s="21" t="s">
        <v>422</v>
      </c>
      <c r="H260" s="21">
        <v>1386</v>
      </c>
    </row>
    <row r="261" spans="1:8">
      <c r="A261" s="21">
        <v>8890304</v>
      </c>
      <c r="B261" s="21" t="s">
        <v>359</v>
      </c>
      <c r="C261" s="21" t="s">
        <v>335</v>
      </c>
      <c r="D261" s="21">
        <v>1970</v>
      </c>
      <c r="E261" s="21" t="s">
        <v>325</v>
      </c>
      <c r="F261" s="21" t="s">
        <v>326</v>
      </c>
      <c r="G261" s="21" t="s">
        <v>300</v>
      </c>
      <c r="H261" s="21">
        <v>27837</v>
      </c>
    </row>
    <row r="262" spans="1:8">
      <c r="A262" s="21">
        <v>8643378</v>
      </c>
      <c r="B262" s="21" t="s">
        <v>780</v>
      </c>
      <c r="C262" s="21" t="s">
        <v>781</v>
      </c>
      <c r="D262" s="21">
        <v>1990</v>
      </c>
      <c r="E262" s="21" t="s">
        <v>8</v>
      </c>
      <c r="F262" s="21" t="s">
        <v>9</v>
      </c>
      <c r="G262" s="21" t="s">
        <v>815</v>
      </c>
      <c r="H262" s="21"/>
    </row>
    <row r="263" spans="1:8">
      <c r="A263" s="21">
        <v>8030076</v>
      </c>
      <c r="B263" s="21" t="s">
        <v>360</v>
      </c>
      <c r="C263" s="21" t="s">
        <v>361</v>
      </c>
      <c r="D263" s="21">
        <v>1995</v>
      </c>
      <c r="E263" s="21" t="s">
        <v>362</v>
      </c>
      <c r="F263" s="21" t="s">
        <v>363</v>
      </c>
      <c r="G263" s="21" t="s">
        <v>300</v>
      </c>
      <c r="H263" s="21">
        <v>20200</v>
      </c>
    </row>
    <row r="264" spans="1:8">
      <c r="A264" s="21">
        <v>8025116</v>
      </c>
      <c r="B264" s="21" t="s">
        <v>196</v>
      </c>
      <c r="C264" s="21" t="s">
        <v>197</v>
      </c>
      <c r="D264" s="21">
        <v>1986</v>
      </c>
      <c r="E264" s="21" t="s">
        <v>116</v>
      </c>
      <c r="F264" s="21" t="s">
        <v>117</v>
      </c>
      <c r="G264" s="21" t="s">
        <v>10</v>
      </c>
      <c r="H264" s="21">
        <v>24105</v>
      </c>
    </row>
    <row r="265" spans="1:8">
      <c r="A265" s="21">
        <v>7910001</v>
      </c>
      <c r="B265" s="21" t="s">
        <v>198</v>
      </c>
      <c r="C265" s="21" t="s">
        <v>254</v>
      </c>
      <c r="D265" s="21">
        <v>1971</v>
      </c>
      <c r="E265" s="21" t="s">
        <v>29</v>
      </c>
      <c r="F265" s="21" t="s">
        <v>30</v>
      </c>
      <c r="G265" s="21" t="s">
        <v>300</v>
      </c>
      <c r="H265" s="21">
        <v>23712</v>
      </c>
    </row>
    <row r="266" spans="1:8">
      <c r="A266" s="21">
        <v>8099160</v>
      </c>
      <c r="B266" s="21" t="s">
        <v>198</v>
      </c>
      <c r="C266" s="21" t="s">
        <v>37</v>
      </c>
      <c r="D266" s="21">
        <v>2001</v>
      </c>
      <c r="E266" s="21" t="s">
        <v>29</v>
      </c>
      <c r="F266" s="21" t="s">
        <v>30</v>
      </c>
      <c r="G266" s="21" t="s">
        <v>10</v>
      </c>
      <c r="H266" s="21">
        <v>23716</v>
      </c>
    </row>
    <row r="267" spans="1:8">
      <c r="A267" s="21">
        <v>1910508</v>
      </c>
      <c r="B267" s="21" t="s">
        <v>198</v>
      </c>
      <c r="C267" s="21" t="s">
        <v>569</v>
      </c>
      <c r="D267" s="21">
        <v>1972</v>
      </c>
      <c r="E267" s="21" t="s">
        <v>29</v>
      </c>
      <c r="F267" s="21" t="s">
        <v>30</v>
      </c>
      <c r="G267" s="21" t="s">
        <v>451</v>
      </c>
      <c r="H267" s="21">
        <v>23715</v>
      </c>
    </row>
    <row r="268" spans="1:8">
      <c r="A268" s="21">
        <v>1719189</v>
      </c>
      <c r="B268" s="21" t="s">
        <v>364</v>
      </c>
      <c r="C268" s="21" t="s">
        <v>24</v>
      </c>
      <c r="D268" s="21">
        <v>1972</v>
      </c>
      <c r="E268" s="21" t="s">
        <v>98</v>
      </c>
      <c r="F268" s="21" t="s">
        <v>99</v>
      </c>
      <c r="G268" s="21" t="s">
        <v>300</v>
      </c>
      <c r="H268" s="21">
        <v>32709</v>
      </c>
    </row>
    <row r="269" spans="1:8">
      <c r="A269" s="21">
        <v>2213310</v>
      </c>
      <c r="B269" s="21" t="s">
        <v>733</v>
      </c>
      <c r="C269" s="21" t="s">
        <v>734</v>
      </c>
      <c r="D269" s="21">
        <v>2011</v>
      </c>
      <c r="E269" s="21" t="s">
        <v>89</v>
      </c>
      <c r="F269" s="21" t="s">
        <v>90</v>
      </c>
      <c r="G269" s="21" t="s">
        <v>310</v>
      </c>
      <c r="H269" s="21">
        <v>43602</v>
      </c>
    </row>
    <row r="270" spans="1:8">
      <c r="A270" s="21">
        <v>8259075</v>
      </c>
      <c r="B270" s="21" t="s">
        <v>486</v>
      </c>
      <c r="C270" s="21" t="s">
        <v>487</v>
      </c>
      <c r="D270" s="21">
        <v>1965</v>
      </c>
      <c r="E270" s="21" t="s">
        <v>156</v>
      </c>
      <c r="F270" s="21" t="s">
        <v>157</v>
      </c>
      <c r="G270" s="21" t="s">
        <v>422</v>
      </c>
      <c r="H270" s="21">
        <v>5421</v>
      </c>
    </row>
    <row r="271" spans="1:8">
      <c r="A271" s="22" t="s">
        <v>816</v>
      </c>
      <c r="B271" s="21" t="s">
        <v>199</v>
      </c>
      <c r="C271" s="21" t="s">
        <v>200</v>
      </c>
      <c r="D271" s="21">
        <v>1994</v>
      </c>
      <c r="E271" s="21" t="s">
        <v>89</v>
      </c>
      <c r="F271" s="21" t="s">
        <v>90</v>
      </c>
      <c r="G271" s="21" t="s">
        <v>10</v>
      </c>
      <c r="H271" s="21">
        <v>17853</v>
      </c>
    </row>
    <row r="272" spans="1:8">
      <c r="A272" s="21">
        <v>8890303</v>
      </c>
      <c r="B272" s="21" t="s">
        <v>659</v>
      </c>
      <c r="C272" s="21" t="s">
        <v>660</v>
      </c>
      <c r="D272" s="21">
        <v>1950</v>
      </c>
      <c r="E272" s="21" t="s">
        <v>325</v>
      </c>
      <c r="F272" s="21" t="s">
        <v>326</v>
      </c>
      <c r="G272" s="21" t="s">
        <v>625</v>
      </c>
      <c r="H272" s="21">
        <v>12192</v>
      </c>
    </row>
    <row r="273" spans="1:8">
      <c r="A273" s="21"/>
      <c r="B273" s="21" t="s">
        <v>488</v>
      </c>
      <c r="C273" s="21" t="s">
        <v>489</v>
      </c>
      <c r="D273" s="21">
        <v>1985</v>
      </c>
      <c r="E273" s="21" t="s">
        <v>8</v>
      </c>
      <c r="F273" s="21" t="s">
        <v>9</v>
      </c>
      <c r="G273" s="21" t="s">
        <v>422</v>
      </c>
      <c r="H273" s="21"/>
    </row>
    <row r="274" spans="1:8">
      <c r="A274" s="21">
        <v>2052655</v>
      </c>
      <c r="B274" s="21" t="s">
        <v>490</v>
      </c>
      <c r="C274" s="21" t="s">
        <v>94</v>
      </c>
      <c r="D274" s="21">
        <v>1992</v>
      </c>
      <c r="E274" s="21" t="s">
        <v>29</v>
      </c>
      <c r="F274" s="21" t="s">
        <v>30</v>
      </c>
      <c r="G274" s="21" t="s">
        <v>422</v>
      </c>
      <c r="H274" s="21">
        <v>43039</v>
      </c>
    </row>
    <row r="275" spans="1:8">
      <c r="A275" s="21">
        <v>2230071</v>
      </c>
      <c r="B275" s="21" t="s">
        <v>758</v>
      </c>
      <c r="C275" s="21" t="s">
        <v>759</v>
      </c>
      <c r="D275" s="21">
        <v>2012</v>
      </c>
      <c r="E275" s="21" t="s">
        <v>47</v>
      </c>
      <c r="F275" s="21" t="s">
        <v>48</v>
      </c>
      <c r="G275" s="21" t="s">
        <v>752</v>
      </c>
      <c r="H275" s="21">
        <v>41344</v>
      </c>
    </row>
    <row r="276" spans="1:8">
      <c r="A276" s="21">
        <v>2144318</v>
      </c>
      <c r="B276" s="21" t="s">
        <v>661</v>
      </c>
      <c r="C276" s="21" t="s">
        <v>603</v>
      </c>
      <c r="D276" s="21">
        <v>2009</v>
      </c>
      <c r="E276" s="21" t="s">
        <v>47</v>
      </c>
      <c r="F276" s="21" t="s">
        <v>48</v>
      </c>
      <c r="G276" s="21" t="s">
        <v>625</v>
      </c>
      <c r="H276" s="21">
        <v>36704</v>
      </c>
    </row>
    <row r="277" spans="1:8">
      <c r="A277" s="21">
        <v>1890308</v>
      </c>
      <c r="B277" s="21" t="s">
        <v>587</v>
      </c>
      <c r="C277" s="21" t="s">
        <v>78</v>
      </c>
      <c r="D277" s="21">
        <v>1961</v>
      </c>
      <c r="E277" s="21" t="s">
        <v>325</v>
      </c>
      <c r="F277" s="21" t="s">
        <v>326</v>
      </c>
      <c r="G277" s="21" t="s">
        <v>451</v>
      </c>
      <c r="H277" s="21">
        <v>29450</v>
      </c>
    </row>
    <row r="278" spans="1:8">
      <c r="A278" s="21">
        <v>7090969</v>
      </c>
      <c r="B278" s="21" t="s">
        <v>201</v>
      </c>
      <c r="C278" s="21" t="s">
        <v>202</v>
      </c>
      <c r="D278" s="21">
        <v>1969</v>
      </c>
      <c r="E278" s="21" t="s">
        <v>65</v>
      </c>
      <c r="F278" s="21" t="s">
        <v>66</v>
      </c>
      <c r="G278" s="21" t="s">
        <v>10</v>
      </c>
      <c r="H278" s="21">
        <v>33652</v>
      </c>
    </row>
    <row r="279" spans="1:8">
      <c r="A279" s="21"/>
      <c r="B279" s="21" t="s">
        <v>203</v>
      </c>
      <c r="C279" s="21" t="s">
        <v>20</v>
      </c>
      <c r="D279" s="21">
        <v>1981</v>
      </c>
      <c r="E279" s="21" t="s">
        <v>8</v>
      </c>
      <c r="F279" s="21" t="s">
        <v>9</v>
      </c>
      <c r="G279" s="21" t="s">
        <v>10</v>
      </c>
      <c r="H279" s="21"/>
    </row>
    <row r="280" spans="1:8">
      <c r="A280" s="21"/>
      <c r="B280" s="21" t="s">
        <v>204</v>
      </c>
      <c r="C280" s="21" t="s">
        <v>205</v>
      </c>
      <c r="D280" s="21">
        <v>1978</v>
      </c>
      <c r="E280" s="21" t="s">
        <v>8</v>
      </c>
      <c r="F280" s="21" t="s">
        <v>9</v>
      </c>
      <c r="G280" s="21" t="s">
        <v>10</v>
      </c>
      <c r="H280" s="21"/>
    </row>
    <row r="281" spans="1:8">
      <c r="A281" s="21">
        <v>8200994</v>
      </c>
      <c r="B281" s="21" t="s">
        <v>206</v>
      </c>
      <c r="C281" s="21" t="s">
        <v>39</v>
      </c>
      <c r="D281" s="21">
        <v>1994</v>
      </c>
      <c r="E281" s="21" t="s">
        <v>207</v>
      </c>
      <c r="F281" s="21" t="s">
        <v>208</v>
      </c>
      <c r="G281" s="21" t="s">
        <v>10</v>
      </c>
      <c r="H281" s="21">
        <v>27734</v>
      </c>
    </row>
    <row r="282" spans="1:8">
      <c r="A282" s="21">
        <v>8092157</v>
      </c>
      <c r="B282" s="21" t="s">
        <v>491</v>
      </c>
      <c r="C282" s="21" t="s">
        <v>492</v>
      </c>
      <c r="D282" s="21">
        <v>1957</v>
      </c>
      <c r="E282" s="21" t="s">
        <v>366</v>
      </c>
      <c r="F282" s="21" t="s">
        <v>367</v>
      </c>
      <c r="G282" s="21" t="s">
        <v>422</v>
      </c>
      <c r="H282" s="21">
        <v>1487</v>
      </c>
    </row>
    <row r="283" spans="1:8">
      <c r="A283" s="21">
        <v>8519082</v>
      </c>
      <c r="B283" s="21" t="s">
        <v>493</v>
      </c>
      <c r="C283" s="21" t="s">
        <v>494</v>
      </c>
      <c r="D283" s="21">
        <v>2007</v>
      </c>
      <c r="E283" s="21" t="s">
        <v>89</v>
      </c>
      <c r="F283" s="21" t="s">
        <v>90</v>
      </c>
      <c r="G283" s="21" t="s">
        <v>422</v>
      </c>
      <c r="H283" s="21">
        <v>35092</v>
      </c>
    </row>
    <row r="284" spans="1:8">
      <c r="A284" s="21"/>
      <c r="B284" s="21" t="s">
        <v>735</v>
      </c>
      <c r="C284" s="21" t="s">
        <v>736</v>
      </c>
      <c r="D284" s="21">
        <v>1995</v>
      </c>
      <c r="E284" s="21" t="s">
        <v>415</v>
      </c>
      <c r="F284" s="21" t="s">
        <v>416</v>
      </c>
      <c r="G284" s="21" t="s">
        <v>310</v>
      </c>
      <c r="H284" s="21">
        <v>845100</v>
      </c>
    </row>
    <row r="285" spans="1:8">
      <c r="A285" s="21">
        <v>8141108</v>
      </c>
      <c r="B285" s="21" t="s">
        <v>365</v>
      </c>
      <c r="C285" s="21" t="s">
        <v>355</v>
      </c>
      <c r="D285" s="21">
        <v>2008</v>
      </c>
      <c r="E285" s="21" t="s">
        <v>366</v>
      </c>
      <c r="F285" s="21" t="s">
        <v>367</v>
      </c>
      <c r="G285" s="21" t="s">
        <v>300</v>
      </c>
      <c r="H285" s="21">
        <v>29216</v>
      </c>
    </row>
    <row r="286" spans="1:8">
      <c r="A286" s="21">
        <v>9003567</v>
      </c>
      <c r="B286" s="21" t="s">
        <v>365</v>
      </c>
      <c r="C286" s="21" t="s">
        <v>235</v>
      </c>
      <c r="D286" s="21">
        <v>1969</v>
      </c>
      <c r="E286" s="21" t="s">
        <v>366</v>
      </c>
      <c r="F286" s="21" t="s">
        <v>367</v>
      </c>
      <c r="G286" s="21" t="s">
        <v>300</v>
      </c>
      <c r="H286" s="21">
        <v>25117</v>
      </c>
    </row>
    <row r="287" spans="1:8">
      <c r="A287" s="21">
        <v>7005053</v>
      </c>
      <c r="B287" s="21" t="s">
        <v>209</v>
      </c>
      <c r="C287" s="21" t="s">
        <v>210</v>
      </c>
      <c r="D287" s="21">
        <v>1959</v>
      </c>
      <c r="E287" s="21" t="s">
        <v>34</v>
      </c>
      <c r="F287" s="21" t="s">
        <v>35</v>
      </c>
      <c r="G287" s="21" t="s">
        <v>10</v>
      </c>
      <c r="H287" s="21">
        <v>16264</v>
      </c>
    </row>
    <row r="288" spans="1:8">
      <c r="A288" s="21">
        <v>8002420</v>
      </c>
      <c r="B288" s="21" t="s">
        <v>211</v>
      </c>
      <c r="C288" s="21" t="s">
        <v>368</v>
      </c>
      <c r="D288" s="21">
        <v>1973</v>
      </c>
      <c r="E288" s="21" t="s">
        <v>369</v>
      </c>
      <c r="F288" s="21" t="s">
        <v>370</v>
      </c>
      <c r="G288" s="21" t="s">
        <v>300</v>
      </c>
      <c r="H288" s="21">
        <v>22723</v>
      </c>
    </row>
    <row r="289" spans="1:8">
      <c r="A289" s="21">
        <v>8152007</v>
      </c>
      <c r="B289" s="21" t="s">
        <v>211</v>
      </c>
      <c r="C289" s="21" t="s">
        <v>371</v>
      </c>
      <c r="D289" s="21">
        <v>2007</v>
      </c>
      <c r="E289" s="21" t="s">
        <v>55</v>
      </c>
      <c r="F289" s="21" t="s">
        <v>56</v>
      </c>
      <c r="G289" s="21" t="s">
        <v>300</v>
      </c>
      <c r="H289" s="21">
        <v>33183</v>
      </c>
    </row>
    <row r="290" spans="1:8">
      <c r="A290" s="21">
        <v>8281972</v>
      </c>
      <c r="B290" s="21" t="s">
        <v>211</v>
      </c>
      <c r="C290" s="21" t="s">
        <v>24</v>
      </c>
      <c r="D290" s="21">
        <v>1972</v>
      </c>
      <c r="E290" s="21" t="s">
        <v>55</v>
      </c>
      <c r="F290" s="21" t="s">
        <v>56</v>
      </c>
      <c r="G290" s="21" t="s">
        <v>10</v>
      </c>
      <c r="H290" s="21">
        <v>33180</v>
      </c>
    </row>
    <row r="291" spans="1:8">
      <c r="A291" s="21">
        <v>8217782</v>
      </c>
      <c r="B291" s="21" t="s">
        <v>372</v>
      </c>
      <c r="C291" s="21" t="s">
        <v>373</v>
      </c>
      <c r="D291" s="21">
        <v>1978</v>
      </c>
      <c r="E291" s="21" t="s">
        <v>8</v>
      </c>
      <c r="F291" s="21" t="s">
        <v>9</v>
      </c>
      <c r="G291" s="21" t="s">
        <v>300</v>
      </c>
      <c r="H291" s="21"/>
    </row>
    <row r="292" spans="1:8">
      <c r="A292" s="21">
        <v>8217774</v>
      </c>
      <c r="B292" s="21" t="s">
        <v>372</v>
      </c>
      <c r="C292" s="21" t="s">
        <v>495</v>
      </c>
      <c r="D292" s="21">
        <v>2007</v>
      </c>
      <c r="E292" s="21" t="s">
        <v>8</v>
      </c>
      <c r="F292" s="21" t="s">
        <v>9</v>
      </c>
      <c r="G292" s="21" t="s">
        <v>422</v>
      </c>
      <c r="H292" s="21"/>
    </row>
    <row r="293" spans="1:8">
      <c r="A293" s="21">
        <v>8217767</v>
      </c>
      <c r="B293" s="21" t="s">
        <v>372</v>
      </c>
      <c r="C293" s="21" t="s">
        <v>662</v>
      </c>
      <c r="D293" s="21">
        <v>2010</v>
      </c>
      <c r="E293" s="21" t="s">
        <v>8</v>
      </c>
      <c r="F293" s="21" t="s">
        <v>9</v>
      </c>
      <c r="G293" s="21" t="s">
        <v>625</v>
      </c>
      <c r="H293" s="21"/>
    </row>
    <row r="294" spans="1:8">
      <c r="A294" s="21">
        <v>8237807</v>
      </c>
      <c r="B294" s="21" t="s">
        <v>212</v>
      </c>
      <c r="C294" s="21" t="s">
        <v>7</v>
      </c>
      <c r="D294" s="21">
        <v>1980</v>
      </c>
      <c r="E294" s="21" t="s">
        <v>34</v>
      </c>
      <c r="F294" s="21" t="s">
        <v>35</v>
      </c>
      <c r="G294" s="21" t="s">
        <v>10</v>
      </c>
      <c r="H294" s="21">
        <v>17775</v>
      </c>
    </row>
    <row r="295" spans="1:8">
      <c r="A295" s="21">
        <v>425308</v>
      </c>
      <c r="B295" s="21" t="s">
        <v>760</v>
      </c>
      <c r="C295" s="21" t="s">
        <v>761</v>
      </c>
      <c r="D295" s="21">
        <v>2015</v>
      </c>
      <c r="E295" s="21" t="s">
        <v>34</v>
      </c>
      <c r="F295" s="21" t="s">
        <v>35</v>
      </c>
      <c r="G295" s="21" t="s">
        <v>752</v>
      </c>
      <c r="H295" s="21">
        <v>41705</v>
      </c>
    </row>
    <row r="296" spans="1:8">
      <c r="A296" s="21">
        <v>8035907</v>
      </c>
      <c r="B296" s="21" t="s">
        <v>374</v>
      </c>
      <c r="C296" s="21" t="s">
        <v>375</v>
      </c>
      <c r="D296" s="21">
        <v>1982</v>
      </c>
      <c r="E296" s="21" t="s">
        <v>156</v>
      </c>
      <c r="F296" s="21" t="s">
        <v>157</v>
      </c>
      <c r="G296" s="21" t="s">
        <v>300</v>
      </c>
      <c r="H296" s="21">
        <v>23079</v>
      </c>
    </row>
    <row r="297" spans="1:8">
      <c r="A297" s="21">
        <v>1506004</v>
      </c>
      <c r="B297" s="21" t="s">
        <v>663</v>
      </c>
      <c r="C297" s="21" t="s">
        <v>664</v>
      </c>
      <c r="D297" s="21">
        <v>1968</v>
      </c>
      <c r="E297" s="21" t="s">
        <v>34</v>
      </c>
      <c r="F297" s="21" t="s">
        <v>35</v>
      </c>
      <c r="G297" s="21" t="s">
        <v>625</v>
      </c>
      <c r="H297" s="21">
        <v>16687</v>
      </c>
    </row>
    <row r="298" spans="1:8">
      <c r="A298" s="21">
        <v>7703077</v>
      </c>
      <c r="B298" s="21" t="s">
        <v>213</v>
      </c>
      <c r="C298" s="21" t="s">
        <v>50</v>
      </c>
      <c r="D298" s="21">
        <v>1974</v>
      </c>
      <c r="E298" s="21" t="s">
        <v>25</v>
      </c>
      <c r="F298" s="21" t="s">
        <v>26</v>
      </c>
      <c r="G298" s="21" t="s">
        <v>10</v>
      </c>
      <c r="H298" s="21">
        <v>24753</v>
      </c>
    </row>
    <row r="299" spans="1:8">
      <c r="A299" s="21"/>
      <c r="B299" s="21" t="s">
        <v>665</v>
      </c>
      <c r="C299" s="21" t="s">
        <v>666</v>
      </c>
      <c r="D299" s="21">
        <v>1978</v>
      </c>
      <c r="E299" s="21" t="s">
        <v>8</v>
      </c>
      <c r="F299" s="21" t="s">
        <v>9</v>
      </c>
      <c r="G299" s="21" t="s">
        <v>625</v>
      </c>
      <c r="H299" s="21"/>
    </row>
    <row r="300" spans="1:8">
      <c r="A300" s="21">
        <v>8020979</v>
      </c>
      <c r="B300" s="21" t="s">
        <v>376</v>
      </c>
      <c r="C300" s="21" t="s">
        <v>377</v>
      </c>
      <c r="D300" s="21">
        <v>1979</v>
      </c>
      <c r="E300" s="21" t="s">
        <v>207</v>
      </c>
      <c r="F300" s="21" t="s">
        <v>208</v>
      </c>
      <c r="G300" s="21" t="s">
        <v>300</v>
      </c>
      <c r="H300" s="21">
        <v>24999</v>
      </c>
    </row>
    <row r="301" spans="1:8">
      <c r="A301" s="21">
        <v>1000979</v>
      </c>
      <c r="B301" s="21" t="s">
        <v>667</v>
      </c>
      <c r="C301" s="21" t="s">
        <v>668</v>
      </c>
      <c r="D301" s="21">
        <v>1960</v>
      </c>
      <c r="E301" s="21" t="s">
        <v>47</v>
      </c>
      <c r="F301" s="21" t="s">
        <v>48</v>
      </c>
      <c r="G301" s="21" t="s">
        <v>625</v>
      </c>
      <c r="H301" s="21">
        <v>3990</v>
      </c>
    </row>
    <row r="302" spans="1:8">
      <c r="A302" s="21">
        <v>1080289</v>
      </c>
      <c r="B302" s="21" t="s">
        <v>667</v>
      </c>
      <c r="C302" s="21" t="s">
        <v>123</v>
      </c>
      <c r="D302" s="21">
        <v>1957</v>
      </c>
      <c r="E302" s="21" t="s">
        <v>47</v>
      </c>
      <c r="F302" s="21" t="s">
        <v>48</v>
      </c>
      <c r="G302" s="21" t="s">
        <v>625</v>
      </c>
      <c r="H302" s="21">
        <v>1367</v>
      </c>
    </row>
    <row r="303" spans="1:8">
      <c r="A303" s="21">
        <v>8220976</v>
      </c>
      <c r="B303" s="21" t="s">
        <v>214</v>
      </c>
      <c r="C303" s="21" t="s">
        <v>215</v>
      </c>
      <c r="D303" s="21">
        <v>1976</v>
      </c>
      <c r="E303" s="21" t="s">
        <v>47</v>
      </c>
      <c r="F303" s="21" t="s">
        <v>48</v>
      </c>
      <c r="G303" s="21" t="s">
        <v>10</v>
      </c>
      <c r="H303" s="21">
        <v>33520</v>
      </c>
    </row>
    <row r="304" spans="1:8">
      <c r="A304" s="21">
        <v>2150417</v>
      </c>
      <c r="B304" s="21" t="s">
        <v>669</v>
      </c>
      <c r="C304" s="21" t="s">
        <v>670</v>
      </c>
      <c r="D304" s="21">
        <v>2010</v>
      </c>
      <c r="E304" s="21" t="s">
        <v>47</v>
      </c>
      <c r="F304" s="21" t="s">
        <v>48</v>
      </c>
      <c r="G304" s="21" t="s">
        <v>625</v>
      </c>
      <c r="H304" s="21">
        <v>40599</v>
      </c>
    </row>
    <row r="305" spans="1:8">
      <c r="A305" s="21">
        <v>8099008</v>
      </c>
      <c r="B305" s="21" t="s">
        <v>378</v>
      </c>
      <c r="C305" s="21" t="s">
        <v>50</v>
      </c>
      <c r="D305" s="21">
        <v>1972</v>
      </c>
      <c r="E305" s="21" t="s">
        <v>34</v>
      </c>
      <c r="F305" s="21" t="s">
        <v>35</v>
      </c>
      <c r="G305" s="21" t="s">
        <v>300</v>
      </c>
      <c r="H305" s="21">
        <v>12379</v>
      </c>
    </row>
    <row r="306" spans="1:8">
      <c r="A306" s="21">
        <v>1080878</v>
      </c>
      <c r="B306" s="21" t="s">
        <v>496</v>
      </c>
      <c r="C306" s="21" t="s">
        <v>497</v>
      </c>
      <c r="D306" s="21">
        <v>1978</v>
      </c>
      <c r="E306" s="21" t="s">
        <v>29</v>
      </c>
      <c r="F306" s="21" t="s">
        <v>30</v>
      </c>
      <c r="G306" s="21" t="s">
        <v>422</v>
      </c>
      <c r="H306" s="21">
        <v>43396</v>
      </c>
    </row>
    <row r="307" spans="1:8">
      <c r="A307" s="21"/>
      <c r="B307" s="21" t="s">
        <v>671</v>
      </c>
      <c r="C307" s="21" t="s">
        <v>94</v>
      </c>
      <c r="D307" s="21"/>
      <c r="E307" s="21" t="s">
        <v>8</v>
      </c>
      <c r="F307" s="21" t="s">
        <v>9</v>
      </c>
      <c r="G307" s="21" t="s">
        <v>625</v>
      </c>
      <c r="H307" s="21"/>
    </row>
    <row r="308" spans="1:8">
      <c r="A308" s="21">
        <v>8660033</v>
      </c>
      <c r="B308" s="21" t="s">
        <v>216</v>
      </c>
      <c r="C308" s="21" t="s">
        <v>217</v>
      </c>
      <c r="D308" s="21">
        <v>1989</v>
      </c>
      <c r="E308" s="21" t="s">
        <v>8</v>
      </c>
      <c r="F308" s="21" t="s">
        <v>9</v>
      </c>
      <c r="G308" s="21" t="s">
        <v>10</v>
      </c>
      <c r="H308" s="21"/>
    </row>
    <row r="309" spans="1:8">
      <c r="A309" s="22" t="s">
        <v>816</v>
      </c>
      <c r="B309" s="21" t="s">
        <v>379</v>
      </c>
      <c r="C309" s="21" t="s">
        <v>380</v>
      </c>
      <c r="D309" s="21">
        <v>2006</v>
      </c>
      <c r="E309" s="21" t="s">
        <v>89</v>
      </c>
      <c r="F309" s="21" t="s">
        <v>90</v>
      </c>
      <c r="G309" s="21" t="s">
        <v>300</v>
      </c>
      <c r="H309" s="21">
        <v>34412</v>
      </c>
    </row>
    <row r="310" spans="1:8">
      <c r="A310" s="21">
        <v>791311</v>
      </c>
      <c r="B310" s="21" t="s">
        <v>379</v>
      </c>
      <c r="C310" s="21" t="s">
        <v>118</v>
      </c>
      <c r="D310" s="21">
        <v>1976</v>
      </c>
      <c r="E310" s="21" t="s">
        <v>89</v>
      </c>
      <c r="F310" s="21" t="s">
        <v>90</v>
      </c>
      <c r="G310" s="21" t="s">
        <v>300</v>
      </c>
      <c r="H310" s="21">
        <v>8234</v>
      </c>
    </row>
    <row r="311" spans="1:8">
      <c r="A311" s="21"/>
      <c r="B311" s="21" t="s">
        <v>588</v>
      </c>
      <c r="C311" s="21" t="s">
        <v>146</v>
      </c>
      <c r="D311" s="21">
        <v>1968</v>
      </c>
      <c r="E311" s="21" t="s">
        <v>8</v>
      </c>
      <c r="F311" s="21" t="s">
        <v>9</v>
      </c>
      <c r="G311" s="21" t="s">
        <v>451</v>
      </c>
      <c r="H311" s="21"/>
    </row>
    <row r="312" spans="1:8">
      <c r="A312" s="21">
        <v>8091159</v>
      </c>
      <c r="B312" s="21" t="s">
        <v>218</v>
      </c>
      <c r="C312" s="21" t="s">
        <v>219</v>
      </c>
      <c r="D312" s="21">
        <v>1959</v>
      </c>
      <c r="E312" s="21" t="s">
        <v>55</v>
      </c>
      <c r="F312" s="21" t="s">
        <v>56</v>
      </c>
      <c r="G312" s="21" t="s">
        <v>10</v>
      </c>
      <c r="H312" s="21">
        <v>2099</v>
      </c>
    </row>
    <row r="313" spans="1:8">
      <c r="A313" s="21">
        <v>8002186</v>
      </c>
      <c r="B313" s="21" t="s">
        <v>218</v>
      </c>
      <c r="C313" s="21" t="s">
        <v>338</v>
      </c>
      <c r="D313" s="21">
        <v>1967</v>
      </c>
      <c r="E313" s="21" t="s">
        <v>55</v>
      </c>
      <c r="F313" s="21" t="s">
        <v>56</v>
      </c>
      <c r="G313" s="21" t="s">
        <v>815</v>
      </c>
      <c r="H313" s="21">
        <v>2100</v>
      </c>
    </row>
    <row r="314" spans="1:8">
      <c r="A314" s="22" t="s">
        <v>816</v>
      </c>
      <c r="B314" s="21" t="s">
        <v>220</v>
      </c>
      <c r="C314" s="21" t="s">
        <v>78</v>
      </c>
      <c r="D314" s="21">
        <v>1979</v>
      </c>
      <c r="E314" s="21" t="s">
        <v>34</v>
      </c>
      <c r="F314" s="21" t="s">
        <v>35</v>
      </c>
      <c r="G314" s="21" t="s">
        <v>10</v>
      </c>
      <c r="H314" s="21">
        <v>28447</v>
      </c>
    </row>
    <row r="315" spans="1:8">
      <c r="A315" s="21">
        <v>8251701</v>
      </c>
      <c r="B315" s="21" t="s">
        <v>498</v>
      </c>
      <c r="C315" s="21" t="s">
        <v>43</v>
      </c>
      <c r="D315" s="21">
        <v>1969</v>
      </c>
      <c r="E315" s="21" t="s">
        <v>499</v>
      </c>
      <c r="F315" s="21" t="s">
        <v>500</v>
      </c>
      <c r="G315" s="21" t="s">
        <v>422</v>
      </c>
      <c r="H315" s="21">
        <v>29848</v>
      </c>
    </row>
    <row r="316" spans="1:8">
      <c r="A316" s="21">
        <v>771119</v>
      </c>
      <c r="B316" s="21" t="s">
        <v>498</v>
      </c>
      <c r="C316" s="21" t="s">
        <v>515</v>
      </c>
      <c r="D316" s="21">
        <v>1967</v>
      </c>
      <c r="E316" s="21" t="s">
        <v>499</v>
      </c>
      <c r="F316" s="21" t="s">
        <v>500</v>
      </c>
      <c r="G316" s="21" t="s">
        <v>310</v>
      </c>
      <c r="H316" s="21">
        <v>36126</v>
      </c>
    </row>
    <row r="317" spans="1:8">
      <c r="A317" s="21">
        <v>9020723</v>
      </c>
      <c r="B317" s="21" t="s">
        <v>381</v>
      </c>
      <c r="C317" s="21" t="s">
        <v>382</v>
      </c>
      <c r="D317" s="21">
        <v>1974</v>
      </c>
      <c r="E317" s="21" t="s">
        <v>383</v>
      </c>
      <c r="F317" s="21" t="s">
        <v>384</v>
      </c>
      <c r="G317" s="21" t="s">
        <v>300</v>
      </c>
      <c r="H317" s="21">
        <v>2892</v>
      </c>
    </row>
    <row r="318" spans="1:8">
      <c r="A318" s="21">
        <v>8099031</v>
      </c>
      <c r="B318" s="21" t="s">
        <v>381</v>
      </c>
      <c r="C318" s="21" t="s">
        <v>501</v>
      </c>
      <c r="D318" s="21">
        <v>1975</v>
      </c>
      <c r="E318" s="21" t="s">
        <v>383</v>
      </c>
      <c r="F318" s="21" t="s">
        <v>384</v>
      </c>
      <c r="G318" s="21" t="s">
        <v>422</v>
      </c>
      <c r="H318" s="21">
        <v>2893</v>
      </c>
    </row>
    <row r="319" spans="1:8">
      <c r="A319" s="21">
        <v>8020701</v>
      </c>
      <c r="B319" s="21" t="s">
        <v>381</v>
      </c>
      <c r="C319" s="21" t="s">
        <v>589</v>
      </c>
      <c r="D319" s="21">
        <v>2007</v>
      </c>
      <c r="E319" s="21" t="s">
        <v>383</v>
      </c>
      <c r="F319" s="21" t="s">
        <v>384</v>
      </c>
      <c r="G319" s="21" t="s">
        <v>451</v>
      </c>
      <c r="H319" s="21">
        <v>33221</v>
      </c>
    </row>
    <row r="320" spans="1:8">
      <c r="A320" s="21">
        <v>8020706</v>
      </c>
      <c r="B320" s="21" t="s">
        <v>381</v>
      </c>
      <c r="C320" s="21" t="s">
        <v>590</v>
      </c>
      <c r="D320" s="21">
        <v>2006</v>
      </c>
      <c r="E320" s="21" t="s">
        <v>383</v>
      </c>
      <c r="F320" s="21" t="s">
        <v>384</v>
      </c>
      <c r="G320" s="21" t="s">
        <v>451</v>
      </c>
      <c r="H320" s="21">
        <v>33220</v>
      </c>
    </row>
    <row r="321" spans="1:8">
      <c r="A321" s="21">
        <v>8010787</v>
      </c>
      <c r="B321" s="21" t="s">
        <v>782</v>
      </c>
      <c r="C321" s="21" t="s">
        <v>783</v>
      </c>
      <c r="D321" s="21">
        <v>1987</v>
      </c>
      <c r="E321" s="21" t="s">
        <v>8</v>
      </c>
      <c r="F321" s="21" t="s">
        <v>9</v>
      </c>
      <c r="G321" s="21" t="s">
        <v>815</v>
      </c>
      <c r="H321" s="21"/>
    </row>
    <row r="322" spans="1:8">
      <c r="A322" s="21">
        <v>9999777</v>
      </c>
      <c r="B322" s="21" t="s">
        <v>385</v>
      </c>
      <c r="C322" s="21" t="s">
        <v>235</v>
      </c>
      <c r="D322" s="21">
        <v>1965</v>
      </c>
      <c r="E322" s="21" t="s">
        <v>386</v>
      </c>
      <c r="F322" s="21" t="s">
        <v>387</v>
      </c>
      <c r="G322" s="21" t="s">
        <v>300</v>
      </c>
      <c r="H322" s="21">
        <v>2142</v>
      </c>
    </row>
    <row r="323" spans="1:8">
      <c r="A323" s="21">
        <v>9912108</v>
      </c>
      <c r="B323" s="21" t="s">
        <v>221</v>
      </c>
      <c r="C323" s="21" t="s">
        <v>31</v>
      </c>
      <c r="D323" s="21">
        <v>1968</v>
      </c>
      <c r="E323" s="21" t="s">
        <v>101</v>
      </c>
      <c r="F323" s="21" t="s">
        <v>102</v>
      </c>
      <c r="G323" s="21" t="s">
        <v>10</v>
      </c>
      <c r="H323" s="21">
        <v>18327</v>
      </c>
    </row>
    <row r="324" spans="1:8">
      <c r="A324" s="21">
        <v>8668567</v>
      </c>
      <c r="B324" s="21" t="s">
        <v>222</v>
      </c>
      <c r="C324" s="21" t="s">
        <v>223</v>
      </c>
      <c r="D324" s="21">
        <v>1973</v>
      </c>
      <c r="E324" s="21" t="s">
        <v>8</v>
      </c>
      <c r="F324" s="21" t="s">
        <v>9</v>
      </c>
      <c r="G324" s="21" t="s">
        <v>10</v>
      </c>
      <c r="H324" s="21"/>
    </row>
    <row r="325" spans="1:8">
      <c r="A325" s="21">
        <v>8004761</v>
      </c>
      <c r="B325" s="21" t="s">
        <v>222</v>
      </c>
      <c r="C325" s="21" t="s">
        <v>502</v>
      </c>
      <c r="D325" s="21">
        <v>2007</v>
      </c>
      <c r="E325" s="21" t="s">
        <v>8</v>
      </c>
      <c r="F325" s="21" t="s">
        <v>9</v>
      </c>
      <c r="G325" s="21" t="s">
        <v>422</v>
      </c>
      <c r="H325" s="21"/>
    </row>
    <row r="326" spans="1:8">
      <c r="A326" s="21">
        <v>2311188</v>
      </c>
      <c r="B326" s="21" t="s">
        <v>672</v>
      </c>
      <c r="C326" s="21" t="s">
        <v>88</v>
      </c>
      <c r="D326" s="21">
        <v>2009</v>
      </c>
      <c r="E326" s="21" t="s">
        <v>47</v>
      </c>
      <c r="F326" s="21" t="s">
        <v>48</v>
      </c>
      <c r="G326" s="21" t="s">
        <v>625</v>
      </c>
      <c r="H326" s="21">
        <v>36735</v>
      </c>
    </row>
    <row r="327" spans="1:8">
      <c r="A327" s="21">
        <v>8500944</v>
      </c>
      <c r="B327" s="21" t="s">
        <v>224</v>
      </c>
      <c r="C327" s="21" t="s">
        <v>225</v>
      </c>
      <c r="D327" s="21">
        <v>2003</v>
      </c>
      <c r="E327" s="21" t="s">
        <v>8</v>
      </c>
      <c r="F327" s="21" t="s">
        <v>9</v>
      </c>
      <c r="G327" s="21" t="s">
        <v>10</v>
      </c>
      <c r="H327" s="21"/>
    </row>
    <row r="328" spans="1:8">
      <c r="A328" s="21">
        <v>8200877</v>
      </c>
      <c r="B328" s="21" t="s">
        <v>226</v>
      </c>
      <c r="C328" s="21" t="s">
        <v>227</v>
      </c>
      <c r="D328" s="21">
        <v>1997</v>
      </c>
      <c r="E328" s="21" t="s">
        <v>228</v>
      </c>
      <c r="F328" s="21" t="s">
        <v>229</v>
      </c>
      <c r="G328" s="21" t="s">
        <v>10</v>
      </c>
      <c r="H328" s="21">
        <v>30672</v>
      </c>
    </row>
    <row r="329" spans="1:8">
      <c r="A329" s="21">
        <v>8137497</v>
      </c>
      <c r="B329" s="21" t="s">
        <v>388</v>
      </c>
      <c r="C329" s="21" t="s">
        <v>389</v>
      </c>
      <c r="D329" s="21">
        <v>1978</v>
      </c>
      <c r="E329" s="21" t="s">
        <v>8</v>
      </c>
      <c r="F329" s="21" t="s">
        <v>9</v>
      </c>
      <c r="G329" s="21" t="s">
        <v>300</v>
      </c>
      <c r="H329" s="21"/>
    </row>
    <row r="330" spans="1:8">
      <c r="A330" s="21">
        <v>8047323</v>
      </c>
      <c r="B330" s="21" t="s">
        <v>388</v>
      </c>
      <c r="C330" s="21" t="s">
        <v>390</v>
      </c>
      <c r="D330" s="21">
        <v>2007</v>
      </c>
      <c r="E330" s="21" t="s">
        <v>8</v>
      </c>
      <c r="F330" s="21" t="s">
        <v>9</v>
      </c>
      <c r="G330" s="21" t="s">
        <v>300</v>
      </c>
      <c r="H330" s="21"/>
    </row>
    <row r="331" spans="1:8">
      <c r="A331" s="21">
        <v>8003923</v>
      </c>
      <c r="B331" s="21" t="s">
        <v>388</v>
      </c>
      <c r="C331" s="21" t="s">
        <v>503</v>
      </c>
      <c r="D331" s="21">
        <v>2009</v>
      </c>
      <c r="E331" s="21" t="s">
        <v>8</v>
      </c>
      <c r="F331" s="21" t="s">
        <v>9</v>
      </c>
      <c r="G331" s="21" t="s">
        <v>422</v>
      </c>
      <c r="H331" s="21"/>
    </row>
    <row r="332" spans="1:8">
      <c r="A332" s="21">
        <v>8009930</v>
      </c>
      <c r="B332" s="21" t="s">
        <v>784</v>
      </c>
      <c r="C332" s="21" t="s">
        <v>688</v>
      </c>
      <c r="D332" s="21">
        <v>1968</v>
      </c>
      <c r="E332" s="21" t="s">
        <v>47</v>
      </c>
      <c r="F332" s="21" t="s">
        <v>48</v>
      </c>
      <c r="G332" s="21" t="s">
        <v>815</v>
      </c>
      <c r="H332" s="21">
        <v>2179</v>
      </c>
    </row>
    <row r="333" spans="1:8">
      <c r="A333" s="21">
        <v>7060683</v>
      </c>
      <c r="B333" s="21" t="s">
        <v>230</v>
      </c>
      <c r="C333" s="21" t="s">
        <v>205</v>
      </c>
      <c r="D333" s="21">
        <v>1983</v>
      </c>
      <c r="E333" s="21" t="s">
        <v>231</v>
      </c>
      <c r="F333" s="21" t="s">
        <v>232</v>
      </c>
      <c r="G333" s="21" t="s">
        <v>10</v>
      </c>
      <c r="H333" s="21">
        <v>25139</v>
      </c>
    </row>
    <row r="334" spans="1:8">
      <c r="A334" s="21">
        <v>2006586</v>
      </c>
      <c r="B334" s="21" t="s">
        <v>504</v>
      </c>
      <c r="C334" s="21" t="s">
        <v>505</v>
      </c>
      <c r="D334" s="21">
        <v>1996</v>
      </c>
      <c r="E334" s="21" t="s">
        <v>61</v>
      </c>
      <c r="F334" s="21" t="s">
        <v>62</v>
      </c>
      <c r="G334" s="21" t="s">
        <v>422</v>
      </c>
      <c r="H334" s="21">
        <v>25958</v>
      </c>
    </row>
    <row r="335" spans="1:8">
      <c r="A335" s="21">
        <v>1391736</v>
      </c>
      <c r="B335" s="21" t="s">
        <v>591</v>
      </c>
      <c r="C335" s="21" t="s">
        <v>592</v>
      </c>
      <c r="D335" s="21">
        <v>1966</v>
      </c>
      <c r="E335" s="21" t="s">
        <v>8</v>
      </c>
      <c r="F335" s="21" t="s">
        <v>9</v>
      </c>
      <c r="G335" s="21" t="s">
        <v>451</v>
      </c>
      <c r="H335" s="21"/>
    </row>
    <row r="336" spans="1:8">
      <c r="A336" s="21">
        <v>8017807</v>
      </c>
      <c r="B336" s="21" t="s">
        <v>233</v>
      </c>
      <c r="C336" s="21" t="s">
        <v>234</v>
      </c>
      <c r="D336" s="21">
        <v>2001</v>
      </c>
      <c r="E336" s="21" t="s">
        <v>34</v>
      </c>
      <c r="F336" s="21" t="s">
        <v>35</v>
      </c>
      <c r="G336" s="21" t="s">
        <v>10</v>
      </c>
      <c r="H336" s="21">
        <v>19099</v>
      </c>
    </row>
    <row r="337" spans="1:8">
      <c r="A337" s="21">
        <v>8020970</v>
      </c>
      <c r="B337" s="21" t="s">
        <v>233</v>
      </c>
      <c r="C337" s="21" t="s">
        <v>235</v>
      </c>
      <c r="D337" s="21">
        <v>1970</v>
      </c>
      <c r="E337" s="21" t="s">
        <v>34</v>
      </c>
      <c r="F337" s="21" t="s">
        <v>35</v>
      </c>
      <c r="G337" s="21" t="s">
        <v>10</v>
      </c>
      <c r="H337" s="21">
        <v>12114</v>
      </c>
    </row>
    <row r="338" spans="1:8">
      <c r="A338" s="21"/>
      <c r="B338" s="21" t="s">
        <v>673</v>
      </c>
      <c r="C338" s="21" t="s">
        <v>84</v>
      </c>
      <c r="D338" s="21">
        <v>1976</v>
      </c>
      <c r="E338" s="21" t="s">
        <v>8</v>
      </c>
      <c r="F338" s="21" t="s">
        <v>9</v>
      </c>
      <c r="G338" s="21" t="s">
        <v>625</v>
      </c>
      <c r="H338" s="21"/>
    </row>
    <row r="339" spans="1:8">
      <c r="A339" s="21"/>
      <c r="B339" s="21" t="s">
        <v>673</v>
      </c>
      <c r="C339" s="21" t="s">
        <v>674</v>
      </c>
      <c r="D339" s="21">
        <v>1979</v>
      </c>
      <c r="E339" s="21" t="s">
        <v>8</v>
      </c>
      <c r="F339" s="21" t="s">
        <v>9</v>
      </c>
      <c r="G339" s="21" t="s">
        <v>625</v>
      </c>
      <c r="H339" s="21"/>
    </row>
    <row r="340" spans="1:8">
      <c r="A340" s="21"/>
      <c r="B340" s="21" t="s">
        <v>673</v>
      </c>
      <c r="C340" s="21" t="s">
        <v>445</v>
      </c>
      <c r="D340" s="21">
        <v>2008</v>
      </c>
      <c r="E340" s="21" t="s">
        <v>718</v>
      </c>
      <c r="F340" s="21" t="s">
        <v>719</v>
      </c>
      <c r="G340" s="21" t="s">
        <v>310</v>
      </c>
      <c r="H340" s="21"/>
    </row>
    <row r="341" spans="1:8">
      <c r="A341" s="21"/>
      <c r="B341" s="21" t="s">
        <v>673</v>
      </c>
      <c r="C341" s="21" t="s">
        <v>39</v>
      </c>
      <c r="D341" s="21">
        <v>2010</v>
      </c>
      <c r="E341" s="21" t="s">
        <v>718</v>
      </c>
      <c r="F341" s="21" t="s">
        <v>719</v>
      </c>
      <c r="G341" s="21" t="s">
        <v>310</v>
      </c>
      <c r="H341" s="21"/>
    </row>
    <row r="342" spans="1:8">
      <c r="A342" s="21">
        <v>8032007</v>
      </c>
      <c r="B342" s="21" t="s">
        <v>506</v>
      </c>
      <c r="C342" s="21" t="s">
        <v>507</v>
      </c>
      <c r="D342" s="21">
        <v>2007</v>
      </c>
      <c r="E342" s="21" t="s">
        <v>29</v>
      </c>
      <c r="F342" s="21" t="s">
        <v>30</v>
      </c>
      <c r="G342" s="21" t="s">
        <v>422</v>
      </c>
      <c r="H342" s="21">
        <v>36880</v>
      </c>
    </row>
    <row r="343" spans="1:8">
      <c r="A343" s="21">
        <v>8630382</v>
      </c>
      <c r="B343" s="21" t="s">
        <v>236</v>
      </c>
      <c r="C343" s="21" t="s">
        <v>237</v>
      </c>
      <c r="D343" s="21">
        <v>1999</v>
      </c>
      <c r="E343" s="21" t="s">
        <v>89</v>
      </c>
      <c r="F343" s="21" t="s">
        <v>90</v>
      </c>
      <c r="G343" s="21" t="s">
        <v>10</v>
      </c>
      <c r="H343" s="21">
        <v>24538</v>
      </c>
    </row>
    <row r="344" spans="1:8">
      <c r="A344" s="21">
        <v>8519090</v>
      </c>
      <c r="B344" s="21" t="s">
        <v>236</v>
      </c>
      <c r="C344" s="21" t="s">
        <v>238</v>
      </c>
      <c r="D344" s="21">
        <v>1963</v>
      </c>
      <c r="E344" s="21" t="s">
        <v>89</v>
      </c>
      <c r="F344" s="21" t="s">
        <v>90</v>
      </c>
      <c r="G344" s="21" t="s">
        <v>10</v>
      </c>
      <c r="H344" s="21">
        <v>24534</v>
      </c>
    </row>
    <row r="345" spans="1:8">
      <c r="A345" s="21">
        <v>8506876</v>
      </c>
      <c r="B345" s="21" t="s">
        <v>236</v>
      </c>
      <c r="C345" s="21" t="s">
        <v>524</v>
      </c>
      <c r="D345" s="21">
        <v>1996</v>
      </c>
      <c r="E345" s="21" t="s">
        <v>89</v>
      </c>
      <c r="F345" s="21" t="s">
        <v>90</v>
      </c>
      <c r="G345" s="21" t="s">
        <v>815</v>
      </c>
      <c r="H345" s="21">
        <v>24537</v>
      </c>
    </row>
    <row r="346" spans="1:8">
      <c r="A346" s="21">
        <v>8455505</v>
      </c>
      <c r="B346" s="21" t="s">
        <v>236</v>
      </c>
      <c r="C346" s="21" t="s">
        <v>430</v>
      </c>
      <c r="D346" s="21">
        <v>1964</v>
      </c>
      <c r="E346" s="21" t="s">
        <v>89</v>
      </c>
      <c r="F346" s="21" t="s">
        <v>90</v>
      </c>
      <c r="G346" s="21" t="s">
        <v>451</v>
      </c>
      <c r="H346" s="21">
        <v>25927</v>
      </c>
    </row>
    <row r="347" spans="1:8">
      <c r="A347" s="21">
        <v>1780802</v>
      </c>
      <c r="B347" s="21" t="s">
        <v>737</v>
      </c>
      <c r="C347" s="21" t="s">
        <v>512</v>
      </c>
      <c r="D347" s="21">
        <v>1970</v>
      </c>
      <c r="E347" s="21" t="s">
        <v>34</v>
      </c>
      <c r="F347" s="21" t="s">
        <v>35</v>
      </c>
      <c r="G347" s="21" t="s">
        <v>310</v>
      </c>
      <c r="H347" s="21">
        <v>43158</v>
      </c>
    </row>
    <row r="348" spans="1:8">
      <c r="A348" s="21">
        <v>2042736</v>
      </c>
      <c r="B348" s="21" t="s">
        <v>675</v>
      </c>
      <c r="C348" s="21" t="s">
        <v>676</v>
      </c>
      <c r="D348" s="21">
        <v>1977</v>
      </c>
      <c r="E348" s="21" t="s">
        <v>677</v>
      </c>
      <c r="F348" s="21" t="s">
        <v>678</v>
      </c>
      <c r="G348" s="21" t="s">
        <v>625</v>
      </c>
      <c r="H348" s="21">
        <v>26201</v>
      </c>
    </row>
    <row r="349" spans="1:8">
      <c r="A349" s="21">
        <v>8190158</v>
      </c>
      <c r="B349" s="21" t="s">
        <v>239</v>
      </c>
      <c r="C349" s="21" t="s">
        <v>391</v>
      </c>
      <c r="D349" s="21">
        <v>1974</v>
      </c>
      <c r="E349" s="21" t="s">
        <v>392</v>
      </c>
      <c r="F349" s="21" t="s">
        <v>393</v>
      </c>
      <c r="G349" s="21" t="s">
        <v>300</v>
      </c>
      <c r="H349" s="21">
        <v>38452</v>
      </c>
    </row>
    <row r="350" spans="1:8">
      <c r="A350" s="21">
        <v>8190159</v>
      </c>
      <c r="B350" s="21" t="s">
        <v>239</v>
      </c>
      <c r="C350" s="21" t="s">
        <v>68</v>
      </c>
      <c r="D350" s="21">
        <v>1973</v>
      </c>
      <c r="E350" s="21" t="s">
        <v>392</v>
      </c>
      <c r="F350" s="21" t="s">
        <v>393</v>
      </c>
      <c r="G350" s="21" t="s">
        <v>300</v>
      </c>
      <c r="H350" s="21">
        <v>38614</v>
      </c>
    </row>
    <row r="351" spans="1:8">
      <c r="A351" s="21">
        <v>8482611</v>
      </c>
      <c r="B351" s="21" t="s">
        <v>239</v>
      </c>
      <c r="C351" s="21" t="s">
        <v>240</v>
      </c>
      <c r="D351" s="21">
        <v>1996</v>
      </c>
      <c r="E351" s="21" t="s">
        <v>241</v>
      </c>
      <c r="F351" s="21" t="s">
        <v>242</v>
      </c>
      <c r="G351" s="21" t="s">
        <v>10</v>
      </c>
      <c r="H351" s="21">
        <v>8975</v>
      </c>
    </row>
    <row r="352" spans="1:8">
      <c r="A352" s="21">
        <v>8190157</v>
      </c>
      <c r="B352" s="21" t="s">
        <v>239</v>
      </c>
      <c r="C352" s="21" t="s">
        <v>738</v>
      </c>
      <c r="D352" s="21">
        <v>2011</v>
      </c>
      <c r="E352" s="21" t="s">
        <v>392</v>
      </c>
      <c r="F352" s="21" t="s">
        <v>393</v>
      </c>
      <c r="G352" s="21" t="s">
        <v>310</v>
      </c>
      <c r="H352" s="21">
        <v>36727</v>
      </c>
    </row>
    <row r="353" spans="1:8">
      <c r="A353" s="21">
        <v>2213308</v>
      </c>
      <c r="B353" s="21" t="s">
        <v>739</v>
      </c>
      <c r="C353" s="21" t="s">
        <v>740</v>
      </c>
      <c r="D353" s="21">
        <v>1979</v>
      </c>
      <c r="E353" s="21" t="s">
        <v>89</v>
      </c>
      <c r="F353" s="21" t="s">
        <v>90</v>
      </c>
      <c r="G353" s="21" t="s">
        <v>310</v>
      </c>
      <c r="H353" s="21">
        <v>43379</v>
      </c>
    </row>
    <row r="354" spans="1:8">
      <c r="A354" s="21">
        <v>2082469</v>
      </c>
      <c r="B354" s="21" t="s">
        <v>679</v>
      </c>
      <c r="C354" s="21" t="s">
        <v>680</v>
      </c>
      <c r="D354" s="21">
        <v>1991</v>
      </c>
      <c r="E354" s="21" t="s">
        <v>89</v>
      </c>
      <c r="F354" s="21" t="s">
        <v>90</v>
      </c>
      <c r="G354" s="21" t="s">
        <v>625</v>
      </c>
      <c r="H354" s="21">
        <v>36264</v>
      </c>
    </row>
    <row r="355" spans="1:8">
      <c r="A355" s="21">
        <v>8040580</v>
      </c>
      <c r="B355" s="21" t="s">
        <v>243</v>
      </c>
      <c r="C355" s="21" t="s">
        <v>244</v>
      </c>
      <c r="D355" s="21">
        <v>1986</v>
      </c>
      <c r="E355" s="21" t="s">
        <v>8</v>
      </c>
      <c r="F355" s="21" t="s">
        <v>9</v>
      </c>
      <c r="G355" s="21" t="s">
        <v>10</v>
      </c>
      <c r="H355" s="21"/>
    </row>
    <row r="356" spans="1:8">
      <c r="A356" s="21">
        <v>8005961</v>
      </c>
      <c r="B356" s="21" t="s">
        <v>394</v>
      </c>
      <c r="C356" s="21" t="s">
        <v>78</v>
      </c>
      <c r="D356" s="21">
        <v>1961</v>
      </c>
      <c r="E356" s="21" t="s">
        <v>369</v>
      </c>
      <c r="F356" s="21" t="s">
        <v>370</v>
      </c>
      <c r="G356" s="21" t="s">
        <v>300</v>
      </c>
      <c r="H356" s="21">
        <v>15021</v>
      </c>
    </row>
    <row r="357" spans="1:8">
      <c r="A357" s="21">
        <v>8252630</v>
      </c>
      <c r="B357" s="21" t="s">
        <v>394</v>
      </c>
      <c r="C357" s="21" t="s">
        <v>508</v>
      </c>
      <c r="D357" s="21">
        <v>1983</v>
      </c>
      <c r="E357" s="21" t="s">
        <v>207</v>
      </c>
      <c r="F357" s="21" t="s">
        <v>208</v>
      </c>
      <c r="G357" s="21" t="s">
        <v>422</v>
      </c>
      <c r="H357" s="21">
        <v>30149</v>
      </c>
    </row>
    <row r="358" spans="1:8">
      <c r="A358" s="21">
        <v>8517490</v>
      </c>
      <c r="B358" s="21" t="s">
        <v>395</v>
      </c>
      <c r="C358" s="21" t="s">
        <v>78</v>
      </c>
      <c r="D358" s="21">
        <v>1962</v>
      </c>
      <c r="E358" s="21" t="s">
        <v>89</v>
      </c>
      <c r="F358" s="21" t="s">
        <v>90</v>
      </c>
      <c r="G358" s="21" t="s">
        <v>300</v>
      </c>
      <c r="H358" s="21">
        <v>7437</v>
      </c>
    </row>
    <row r="359" spans="1:8">
      <c r="A359" s="21"/>
      <c r="B359" s="21" t="s">
        <v>245</v>
      </c>
      <c r="C359" s="21" t="s">
        <v>246</v>
      </c>
      <c r="D359" s="21">
        <v>1980</v>
      </c>
      <c r="E359" s="21" t="s">
        <v>8</v>
      </c>
      <c r="F359" s="21" t="s">
        <v>9</v>
      </c>
      <c r="G359" s="21" t="s">
        <v>10</v>
      </c>
      <c r="H359" s="21"/>
    </row>
    <row r="360" spans="1:8">
      <c r="A360" s="21">
        <v>8002711</v>
      </c>
      <c r="B360" s="21" t="s">
        <v>247</v>
      </c>
      <c r="C360" s="21" t="s">
        <v>92</v>
      </c>
      <c r="D360" s="21">
        <v>1996</v>
      </c>
      <c r="E360" s="21" t="s">
        <v>248</v>
      </c>
      <c r="F360" s="21" t="s">
        <v>249</v>
      </c>
      <c r="G360" s="21" t="s">
        <v>10</v>
      </c>
      <c r="H360" s="21">
        <v>26567</v>
      </c>
    </row>
    <row r="361" spans="1:8">
      <c r="A361" s="21">
        <v>8040464</v>
      </c>
      <c r="B361" s="21" t="s">
        <v>247</v>
      </c>
      <c r="C361" s="21" t="s">
        <v>50</v>
      </c>
      <c r="D361" s="21">
        <v>1964</v>
      </c>
      <c r="E361" s="21" t="s">
        <v>509</v>
      </c>
      <c r="F361" s="21" t="s">
        <v>510</v>
      </c>
      <c r="G361" s="21" t="s">
        <v>422</v>
      </c>
      <c r="H361" s="21">
        <v>22029</v>
      </c>
    </row>
    <row r="362" spans="1:8">
      <c r="A362" s="21"/>
      <c r="B362" s="21" t="s">
        <v>250</v>
      </c>
      <c r="C362" s="21" t="s">
        <v>251</v>
      </c>
      <c r="D362" s="21">
        <v>1964</v>
      </c>
      <c r="E362" s="21" t="s">
        <v>34</v>
      </c>
      <c r="F362" s="21" t="s">
        <v>35</v>
      </c>
      <c r="G362" s="21" t="s">
        <v>10</v>
      </c>
      <c r="H362" s="21">
        <v>32409</v>
      </c>
    </row>
    <row r="363" spans="1:8">
      <c r="A363" s="21"/>
      <c r="B363" s="21" t="s">
        <v>593</v>
      </c>
      <c r="C363" s="21" t="s">
        <v>594</v>
      </c>
      <c r="D363" s="21">
        <v>1983</v>
      </c>
      <c r="E363" s="21" t="s">
        <v>8</v>
      </c>
      <c r="F363" s="21" t="s">
        <v>9</v>
      </c>
      <c r="G363" s="21" t="s">
        <v>451</v>
      </c>
      <c r="H363" s="21"/>
    </row>
    <row r="364" spans="1:8">
      <c r="A364" s="21"/>
      <c r="B364" s="21" t="s">
        <v>511</v>
      </c>
      <c r="C364" s="21" t="s">
        <v>64</v>
      </c>
      <c r="D364" s="21">
        <v>1980</v>
      </c>
      <c r="E364" s="21" t="s">
        <v>8</v>
      </c>
      <c r="F364" s="21" t="s">
        <v>9</v>
      </c>
      <c r="G364" s="21" t="s">
        <v>422</v>
      </c>
      <c r="H364" s="21"/>
    </row>
    <row r="365" spans="1:8">
      <c r="A365" s="21">
        <v>8517576</v>
      </c>
      <c r="B365" s="21" t="s">
        <v>252</v>
      </c>
      <c r="C365" s="21" t="s">
        <v>43</v>
      </c>
      <c r="D365" s="21">
        <v>1975</v>
      </c>
      <c r="E365" s="21" t="s">
        <v>207</v>
      </c>
      <c r="F365" s="21" t="s">
        <v>208</v>
      </c>
      <c r="G365" s="21" t="s">
        <v>10</v>
      </c>
      <c r="H365" s="21">
        <v>13950</v>
      </c>
    </row>
    <row r="366" spans="1:8">
      <c r="A366" s="21">
        <v>8516576</v>
      </c>
      <c r="B366" s="21" t="s">
        <v>252</v>
      </c>
      <c r="C366" s="21" t="s">
        <v>512</v>
      </c>
      <c r="D366" s="21">
        <v>1976</v>
      </c>
      <c r="E366" s="21" t="s">
        <v>207</v>
      </c>
      <c r="F366" s="21" t="s">
        <v>208</v>
      </c>
      <c r="G366" s="21" t="s">
        <v>422</v>
      </c>
      <c r="H366" s="21">
        <v>29611</v>
      </c>
    </row>
    <row r="367" spans="1:8">
      <c r="A367" s="21">
        <v>8384646</v>
      </c>
      <c r="B367" s="21" t="s">
        <v>252</v>
      </c>
      <c r="C367" s="21" t="s">
        <v>555</v>
      </c>
      <c r="D367" s="21">
        <v>2007</v>
      </c>
      <c r="E367" s="21" t="s">
        <v>89</v>
      </c>
      <c r="F367" s="21" t="s">
        <v>90</v>
      </c>
      <c r="G367" s="21" t="s">
        <v>451</v>
      </c>
      <c r="H367" s="21">
        <v>41059</v>
      </c>
    </row>
    <row r="368" spans="1:8">
      <c r="A368" s="21">
        <v>8137707</v>
      </c>
      <c r="B368" s="21" t="s">
        <v>595</v>
      </c>
      <c r="C368" s="21" t="s">
        <v>413</v>
      </c>
      <c r="D368" s="21">
        <v>1974</v>
      </c>
      <c r="E368" s="21" t="s">
        <v>89</v>
      </c>
      <c r="F368" s="21" t="s">
        <v>90</v>
      </c>
      <c r="G368" s="21" t="s">
        <v>451</v>
      </c>
      <c r="H368" s="21">
        <v>11479</v>
      </c>
    </row>
    <row r="369" spans="1:8">
      <c r="A369" s="21">
        <v>9002024</v>
      </c>
      <c r="B369" s="21" t="s">
        <v>253</v>
      </c>
      <c r="C369" s="21" t="s">
        <v>254</v>
      </c>
      <c r="D369" s="21">
        <v>1975</v>
      </c>
      <c r="E369" s="21" t="s">
        <v>98</v>
      </c>
      <c r="F369" s="21" t="s">
        <v>99</v>
      </c>
      <c r="G369" s="21" t="s">
        <v>10</v>
      </c>
      <c r="H369" s="21">
        <v>18794</v>
      </c>
    </row>
    <row r="370" spans="1:8">
      <c r="A370" s="21">
        <v>8516990</v>
      </c>
      <c r="B370" s="21" t="s">
        <v>513</v>
      </c>
      <c r="C370" s="21" t="s">
        <v>514</v>
      </c>
      <c r="D370" s="21">
        <v>1957</v>
      </c>
      <c r="E370" s="21" t="s">
        <v>89</v>
      </c>
      <c r="F370" s="21" t="s">
        <v>90</v>
      </c>
      <c r="G370" s="21" t="s">
        <v>422</v>
      </c>
      <c r="H370" s="21">
        <v>922</v>
      </c>
    </row>
    <row r="371" spans="1:8">
      <c r="A371" s="21">
        <v>8062819</v>
      </c>
      <c r="B371" s="21" t="s">
        <v>255</v>
      </c>
      <c r="C371" s="21" t="s">
        <v>256</v>
      </c>
      <c r="D371" s="21">
        <v>1978</v>
      </c>
      <c r="E371" s="21" t="s">
        <v>40</v>
      </c>
      <c r="F371" s="21" t="s">
        <v>41</v>
      </c>
      <c r="G371" s="21" t="s">
        <v>10</v>
      </c>
      <c r="H371" s="21">
        <v>13757</v>
      </c>
    </row>
    <row r="372" spans="1:8">
      <c r="A372" s="21">
        <v>8062820</v>
      </c>
      <c r="B372" s="21" t="s">
        <v>257</v>
      </c>
      <c r="C372" s="21" t="s">
        <v>202</v>
      </c>
      <c r="D372" s="21">
        <v>1972</v>
      </c>
      <c r="E372" s="21" t="s">
        <v>40</v>
      </c>
      <c r="F372" s="21" t="s">
        <v>41</v>
      </c>
      <c r="G372" s="21" t="s">
        <v>10</v>
      </c>
      <c r="H372" s="21">
        <v>22302</v>
      </c>
    </row>
    <row r="373" spans="1:8">
      <c r="A373" s="21">
        <v>8059072</v>
      </c>
      <c r="B373" s="21" t="s">
        <v>258</v>
      </c>
      <c r="C373" s="21" t="s">
        <v>396</v>
      </c>
      <c r="D373" s="21">
        <v>1968</v>
      </c>
      <c r="E373" s="21" t="s">
        <v>156</v>
      </c>
      <c r="F373" s="21" t="s">
        <v>157</v>
      </c>
      <c r="G373" s="21" t="s">
        <v>300</v>
      </c>
      <c r="H373" s="21">
        <v>12468</v>
      </c>
    </row>
    <row r="374" spans="1:8">
      <c r="A374" s="21">
        <v>8009995</v>
      </c>
      <c r="B374" s="21" t="s">
        <v>258</v>
      </c>
      <c r="C374" s="21" t="s">
        <v>12</v>
      </c>
      <c r="D374" s="21">
        <v>2002</v>
      </c>
      <c r="E374" s="21" t="s">
        <v>156</v>
      </c>
      <c r="F374" s="21" t="s">
        <v>157</v>
      </c>
      <c r="G374" s="21" t="s">
        <v>10</v>
      </c>
      <c r="H374" s="21">
        <v>25199</v>
      </c>
    </row>
    <row r="375" spans="1:8">
      <c r="A375" s="21">
        <v>8427775</v>
      </c>
      <c r="B375" s="21" t="s">
        <v>259</v>
      </c>
      <c r="C375" s="21" t="s">
        <v>260</v>
      </c>
      <c r="D375" s="21">
        <v>1989</v>
      </c>
      <c r="E375" s="21" t="s">
        <v>47</v>
      </c>
      <c r="F375" s="21" t="s">
        <v>48</v>
      </c>
      <c r="G375" s="21" t="s">
        <v>10</v>
      </c>
      <c r="H375" s="21">
        <v>8237</v>
      </c>
    </row>
    <row r="376" spans="1:8">
      <c r="A376" s="21">
        <v>8030416</v>
      </c>
      <c r="B376" s="21" t="s">
        <v>397</v>
      </c>
      <c r="C376" s="21" t="s">
        <v>398</v>
      </c>
      <c r="D376" s="21">
        <v>1988</v>
      </c>
      <c r="E376" s="21" t="s">
        <v>34</v>
      </c>
      <c r="F376" s="21" t="s">
        <v>35</v>
      </c>
      <c r="G376" s="21" t="s">
        <v>300</v>
      </c>
      <c r="H376" s="21">
        <v>34751</v>
      </c>
    </row>
    <row r="377" spans="1:8">
      <c r="A377" s="21">
        <v>8275668</v>
      </c>
      <c r="B377" s="21" t="s">
        <v>261</v>
      </c>
      <c r="C377" s="21" t="s">
        <v>16</v>
      </c>
      <c r="D377" s="21">
        <v>1966</v>
      </c>
      <c r="E377" s="21" t="s">
        <v>34</v>
      </c>
      <c r="F377" s="21" t="s">
        <v>35</v>
      </c>
      <c r="G377" s="21" t="s">
        <v>10</v>
      </c>
      <c r="H377" s="21">
        <v>3201</v>
      </c>
    </row>
    <row r="378" spans="1:8">
      <c r="A378" s="21">
        <v>8099018</v>
      </c>
      <c r="B378" s="21" t="s">
        <v>261</v>
      </c>
      <c r="C378" s="21" t="s">
        <v>515</v>
      </c>
      <c r="D378" s="21">
        <v>1966</v>
      </c>
      <c r="E378" s="21" t="s">
        <v>34</v>
      </c>
      <c r="F378" s="21" t="s">
        <v>35</v>
      </c>
      <c r="G378" s="21" t="s">
        <v>422</v>
      </c>
      <c r="H378" s="21">
        <v>3200</v>
      </c>
    </row>
    <row r="379" spans="1:8">
      <c r="A379" s="21">
        <v>7001077</v>
      </c>
      <c r="B379" s="21" t="s">
        <v>785</v>
      </c>
      <c r="C379" s="21" t="s">
        <v>786</v>
      </c>
      <c r="D379" s="21">
        <v>1994</v>
      </c>
      <c r="E379" s="21" t="s">
        <v>8</v>
      </c>
      <c r="F379" s="21" t="s">
        <v>9</v>
      </c>
      <c r="G379" s="21" t="s">
        <v>815</v>
      </c>
      <c r="H379" s="21"/>
    </row>
    <row r="380" spans="1:8">
      <c r="A380" s="21">
        <v>999599</v>
      </c>
      <c r="B380" s="21" t="s">
        <v>262</v>
      </c>
      <c r="C380" s="21" t="s">
        <v>263</v>
      </c>
      <c r="D380" s="21">
        <v>1978</v>
      </c>
      <c r="E380" s="21" t="s">
        <v>8</v>
      </c>
      <c r="F380" s="21" t="s">
        <v>9</v>
      </c>
      <c r="G380" s="21" t="s">
        <v>10</v>
      </c>
      <c r="H380" s="21"/>
    </row>
    <row r="381" spans="1:8">
      <c r="A381" s="21">
        <v>8272008</v>
      </c>
      <c r="B381" s="21" t="s">
        <v>399</v>
      </c>
      <c r="C381" s="21" t="s">
        <v>400</v>
      </c>
      <c r="D381" s="21">
        <v>2008</v>
      </c>
      <c r="E381" s="21" t="s">
        <v>55</v>
      </c>
      <c r="F381" s="21" t="s">
        <v>56</v>
      </c>
      <c r="G381" s="21" t="s">
        <v>300</v>
      </c>
      <c r="H381" s="21">
        <v>41405</v>
      </c>
    </row>
    <row r="382" spans="1:8">
      <c r="A382" s="21">
        <v>7005123</v>
      </c>
      <c r="B382" s="21" t="s">
        <v>681</v>
      </c>
      <c r="C382" s="21" t="s">
        <v>682</v>
      </c>
      <c r="D382" s="21">
        <v>1963</v>
      </c>
      <c r="E382" s="21" t="s">
        <v>369</v>
      </c>
      <c r="F382" s="21" t="s">
        <v>370</v>
      </c>
      <c r="G382" s="21" t="s">
        <v>625</v>
      </c>
      <c r="H382" s="21"/>
    </row>
    <row r="383" spans="1:8">
      <c r="A383" s="21">
        <v>7705290</v>
      </c>
      <c r="B383" s="21" t="s">
        <v>264</v>
      </c>
      <c r="C383" s="21" t="s">
        <v>265</v>
      </c>
      <c r="D383" s="21">
        <v>1977</v>
      </c>
      <c r="E383" s="21" t="s">
        <v>266</v>
      </c>
      <c r="F383" s="21" t="s">
        <v>267</v>
      </c>
      <c r="G383" s="21" t="s">
        <v>10</v>
      </c>
      <c r="H383" s="21">
        <v>4768</v>
      </c>
    </row>
    <row r="384" spans="1:8">
      <c r="A384" s="21">
        <v>1601708</v>
      </c>
      <c r="B384" s="21" t="s">
        <v>516</v>
      </c>
      <c r="C384" s="21" t="s">
        <v>517</v>
      </c>
      <c r="D384" s="21">
        <v>1982</v>
      </c>
      <c r="E384" s="21" t="s">
        <v>266</v>
      </c>
      <c r="F384" s="21" t="s">
        <v>267</v>
      </c>
      <c r="G384" s="21" t="s">
        <v>422</v>
      </c>
      <c r="H384" s="21">
        <v>14676</v>
      </c>
    </row>
    <row r="385" spans="1:8">
      <c r="A385" s="21">
        <v>1051110</v>
      </c>
      <c r="B385" s="21" t="s">
        <v>516</v>
      </c>
      <c r="C385" s="21" t="s">
        <v>741</v>
      </c>
      <c r="D385" s="21">
        <v>2010</v>
      </c>
      <c r="E385" s="21" t="s">
        <v>266</v>
      </c>
      <c r="F385" s="21" t="s">
        <v>267</v>
      </c>
      <c r="G385" s="21" t="s">
        <v>310</v>
      </c>
      <c r="H385" s="21">
        <v>33499</v>
      </c>
    </row>
    <row r="386" spans="1:8">
      <c r="A386" s="21">
        <v>8509009</v>
      </c>
      <c r="B386" s="21" t="s">
        <v>516</v>
      </c>
      <c r="C386" s="21" t="s">
        <v>234</v>
      </c>
      <c r="D386" s="21">
        <v>2013</v>
      </c>
      <c r="E386" s="21" t="s">
        <v>266</v>
      </c>
      <c r="F386" s="21" t="s">
        <v>267</v>
      </c>
      <c r="G386" s="21" t="s">
        <v>752</v>
      </c>
      <c r="H386" s="21">
        <v>36107</v>
      </c>
    </row>
    <row r="387" spans="1:8">
      <c r="A387" s="21">
        <v>8122570</v>
      </c>
      <c r="B387" s="21" t="s">
        <v>401</v>
      </c>
      <c r="C387" s="21" t="s">
        <v>402</v>
      </c>
      <c r="D387" s="21">
        <v>1970</v>
      </c>
      <c r="E387" s="21" t="s">
        <v>51</v>
      </c>
      <c r="F387" s="21" t="s">
        <v>52</v>
      </c>
      <c r="G387" s="21" t="s">
        <v>300</v>
      </c>
      <c r="H387" s="21">
        <v>19890</v>
      </c>
    </row>
    <row r="388" spans="1:8">
      <c r="A388" s="21">
        <v>1090572</v>
      </c>
      <c r="B388" s="21" t="s">
        <v>401</v>
      </c>
      <c r="C388" s="21" t="s">
        <v>674</v>
      </c>
      <c r="D388" s="21">
        <v>2000</v>
      </c>
      <c r="E388" s="21" t="s">
        <v>51</v>
      </c>
      <c r="F388" s="21" t="s">
        <v>52</v>
      </c>
      <c r="G388" s="21" t="s">
        <v>625</v>
      </c>
      <c r="H388" s="21">
        <v>31824</v>
      </c>
    </row>
    <row r="389" spans="1:8">
      <c r="A389" s="21"/>
      <c r="B389" s="21" t="s">
        <v>683</v>
      </c>
      <c r="C389" s="21" t="s">
        <v>684</v>
      </c>
      <c r="D389" s="21">
        <v>1993</v>
      </c>
      <c r="E389" s="21" t="s">
        <v>8</v>
      </c>
      <c r="F389" s="21" t="s">
        <v>9</v>
      </c>
      <c r="G389" s="21" t="s">
        <v>625</v>
      </c>
      <c r="H389" s="21"/>
    </row>
    <row r="390" spans="1:8">
      <c r="A390" s="21"/>
      <c r="B390" s="21" t="s">
        <v>787</v>
      </c>
      <c r="C390" s="21" t="s">
        <v>788</v>
      </c>
      <c r="D390" s="21">
        <v>1981</v>
      </c>
      <c r="E390" s="21" t="s">
        <v>47</v>
      </c>
      <c r="F390" s="21" t="s">
        <v>48</v>
      </c>
      <c r="G390" s="21" t="s">
        <v>815</v>
      </c>
      <c r="H390" s="21">
        <v>27022</v>
      </c>
    </row>
    <row r="391" spans="1:8">
      <c r="A391" s="21">
        <v>7040866</v>
      </c>
      <c r="B391" s="21" t="s">
        <v>403</v>
      </c>
      <c r="C391" s="21" t="s">
        <v>238</v>
      </c>
      <c r="D391" s="21">
        <v>1966</v>
      </c>
      <c r="E391" s="21" t="s">
        <v>98</v>
      </c>
      <c r="F391" s="21" t="s">
        <v>99</v>
      </c>
      <c r="G391" s="21" t="s">
        <v>300</v>
      </c>
      <c r="H391" s="21">
        <v>11163</v>
      </c>
    </row>
    <row r="392" spans="1:8">
      <c r="A392" s="21">
        <v>7010325</v>
      </c>
      <c r="B392" s="21" t="s">
        <v>403</v>
      </c>
      <c r="C392" s="21" t="s">
        <v>340</v>
      </c>
      <c r="D392" s="21">
        <v>2001</v>
      </c>
      <c r="E392" s="21" t="s">
        <v>789</v>
      </c>
      <c r="F392" s="21" t="s">
        <v>790</v>
      </c>
      <c r="G392" s="21" t="s">
        <v>815</v>
      </c>
      <c r="H392" s="21">
        <v>21281</v>
      </c>
    </row>
    <row r="393" spans="1:8">
      <c r="A393" s="21">
        <v>8002028</v>
      </c>
      <c r="B393" s="21" t="s">
        <v>518</v>
      </c>
      <c r="C393" s="21" t="s">
        <v>138</v>
      </c>
      <c r="D393" s="21">
        <v>1957</v>
      </c>
      <c r="E393" s="21" t="s">
        <v>519</v>
      </c>
      <c r="F393" s="21" t="s">
        <v>520</v>
      </c>
      <c r="G393" s="21" t="s">
        <v>422</v>
      </c>
      <c r="H393" s="21">
        <v>29825</v>
      </c>
    </row>
    <row r="394" spans="1:8">
      <c r="A394" s="21">
        <v>8643983</v>
      </c>
      <c r="B394" s="21" t="s">
        <v>268</v>
      </c>
      <c r="C394" s="21" t="s">
        <v>165</v>
      </c>
      <c r="D394" s="21">
        <v>1994</v>
      </c>
      <c r="E394" s="21" t="s">
        <v>116</v>
      </c>
      <c r="F394" s="21" t="s">
        <v>117</v>
      </c>
      <c r="G394" s="21" t="s">
        <v>10</v>
      </c>
      <c r="H394" s="21">
        <v>29515</v>
      </c>
    </row>
    <row r="395" spans="1:8">
      <c r="A395" s="21">
        <v>8150622</v>
      </c>
      <c r="B395" s="21" t="s">
        <v>268</v>
      </c>
      <c r="C395" s="21" t="s">
        <v>443</v>
      </c>
      <c r="D395" s="21">
        <v>1968</v>
      </c>
      <c r="E395" s="21" t="s">
        <v>116</v>
      </c>
      <c r="F395" s="21" t="s">
        <v>117</v>
      </c>
      <c r="G395" s="21" t="s">
        <v>422</v>
      </c>
      <c r="H395" s="21">
        <v>41289</v>
      </c>
    </row>
    <row r="396" spans="1:8">
      <c r="A396" s="21">
        <v>8220669</v>
      </c>
      <c r="B396" s="21" t="s">
        <v>268</v>
      </c>
      <c r="C396" s="21" t="s">
        <v>596</v>
      </c>
      <c r="D396" s="21">
        <v>1969</v>
      </c>
      <c r="E396" s="21" t="s">
        <v>116</v>
      </c>
      <c r="F396" s="21" t="s">
        <v>117</v>
      </c>
      <c r="G396" s="21" t="s">
        <v>451</v>
      </c>
      <c r="H396" s="21">
        <v>41291</v>
      </c>
    </row>
    <row r="397" spans="1:8">
      <c r="A397" s="21">
        <v>8031999</v>
      </c>
      <c r="B397" s="21" t="s">
        <v>268</v>
      </c>
      <c r="C397" s="21" t="s">
        <v>742</v>
      </c>
      <c r="D397" s="21">
        <v>1996</v>
      </c>
      <c r="E397" s="21" t="s">
        <v>116</v>
      </c>
      <c r="F397" s="21" t="s">
        <v>117</v>
      </c>
      <c r="G397" s="21" t="s">
        <v>310</v>
      </c>
      <c r="H397" s="21">
        <v>37061</v>
      </c>
    </row>
    <row r="398" spans="1:8">
      <c r="A398" s="21">
        <v>971586</v>
      </c>
      <c r="B398" s="21" t="s">
        <v>521</v>
      </c>
      <c r="C398" s="21" t="s">
        <v>522</v>
      </c>
      <c r="D398" s="21">
        <v>1961</v>
      </c>
      <c r="E398" s="21" t="s">
        <v>386</v>
      </c>
      <c r="F398" s="21" t="s">
        <v>387</v>
      </c>
      <c r="G398" s="21" t="s">
        <v>422</v>
      </c>
      <c r="H398" s="21">
        <v>21452</v>
      </c>
    </row>
    <row r="399" spans="1:8">
      <c r="A399" s="21">
        <v>2082468</v>
      </c>
      <c r="B399" s="21" t="s">
        <v>597</v>
      </c>
      <c r="C399" s="21" t="s">
        <v>598</v>
      </c>
      <c r="D399" s="21">
        <v>2008</v>
      </c>
      <c r="E399" s="21" t="s">
        <v>47</v>
      </c>
      <c r="F399" s="21" t="s">
        <v>48</v>
      </c>
      <c r="G399" s="21" t="s">
        <v>451</v>
      </c>
      <c r="H399" s="21">
        <v>38550</v>
      </c>
    </row>
    <row r="400" spans="1:8">
      <c r="A400" s="21">
        <v>2213307</v>
      </c>
      <c r="B400" s="21" t="s">
        <v>762</v>
      </c>
      <c r="C400" s="21" t="s">
        <v>763</v>
      </c>
      <c r="D400" s="21">
        <v>2011</v>
      </c>
      <c r="E400" s="21" t="s">
        <v>89</v>
      </c>
      <c r="F400" s="21" t="s">
        <v>90</v>
      </c>
      <c r="G400" s="21" t="s">
        <v>752</v>
      </c>
      <c r="H400" s="21">
        <v>39958</v>
      </c>
    </row>
    <row r="401" spans="1:8">
      <c r="A401" s="21">
        <v>8171819</v>
      </c>
      <c r="B401" s="21" t="s">
        <v>404</v>
      </c>
      <c r="C401" s="21" t="s">
        <v>405</v>
      </c>
      <c r="D401" s="21">
        <v>1965</v>
      </c>
      <c r="E401" s="21" t="s">
        <v>29</v>
      </c>
      <c r="F401" s="21" t="s">
        <v>30</v>
      </c>
      <c r="G401" s="21" t="s">
        <v>300</v>
      </c>
      <c r="H401" s="21">
        <v>4357</v>
      </c>
    </row>
    <row r="402" spans="1:8">
      <c r="A402" s="21">
        <v>1001914</v>
      </c>
      <c r="B402" s="21" t="s">
        <v>599</v>
      </c>
      <c r="C402" s="21" t="s">
        <v>600</v>
      </c>
      <c r="D402" s="21">
        <v>1962</v>
      </c>
      <c r="E402" s="21" t="s">
        <v>8</v>
      </c>
      <c r="F402" s="21" t="s">
        <v>9</v>
      </c>
      <c r="G402" s="21" t="s">
        <v>451</v>
      </c>
      <c r="H402" s="21"/>
    </row>
    <row r="403" spans="1:8">
      <c r="A403" s="21">
        <v>8070375</v>
      </c>
      <c r="B403" s="21" t="s">
        <v>523</v>
      </c>
      <c r="C403" s="21" t="s">
        <v>524</v>
      </c>
      <c r="D403" s="21">
        <v>1975</v>
      </c>
      <c r="E403" s="21" t="s">
        <v>34</v>
      </c>
      <c r="F403" s="21" t="s">
        <v>35</v>
      </c>
      <c r="G403" s="21" t="s">
        <v>422</v>
      </c>
      <c r="H403" s="21">
        <v>31676</v>
      </c>
    </row>
    <row r="404" spans="1:8">
      <c r="A404" s="21">
        <v>8102008</v>
      </c>
      <c r="B404" s="21" t="s">
        <v>523</v>
      </c>
      <c r="C404" s="21" t="s">
        <v>685</v>
      </c>
      <c r="D404" s="21">
        <v>2008</v>
      </c>
      <c r="E404" s="21" t="s">
        <v>34</v>
      </c>
      <c r="F404" s="21" t="s">
        <v>35</v>
      </c>
      <c r="G404" s="21" t="s">
        <v>625</v>
      </c>
      <c r="H404" s="21">
        <v>31678</v>
      </c>
    </row>
    <row r="405" spans="1:8">
      <c r="A405" s="21">
        <v>8217708</v>
      </c>
      <c r="B405" s="21" t="s">
        <v>269</v>
      </c>
      <c r="C405" s="21" t="s">
        <v>227</v>
      </c>
      <c r="D405" s="21">
        <v>1967</v>
      </c>
      <c r="E405" s="21" t="s">
        <v>8</v>
      </c>
      <c r="F405" s="21" t="s">
        <v>9</v>
      </c>
      <c r="G405" s="21" t="s">
        <v>300</v>
      </c>
      <c r="H405" s="21"/>
    </row>
    <row r="406" spans="1:8">
      <c r="A406" s="21">
        <v>8217678</v>
      </c>
      <c r="B406" s="21" t="s">
        <v>269</v>
      </c>
      <c r="C406" s="21" t="s">
        <v>270</v>
      </c>
      <c r="D406" s="21">
        <v>2006</v>
      </c>
      <c r="E406" s="21" t="s">
        <v>8</v>
      </c>
      <c r="F406" s="21" t="s">
        <v>9</v>
      </c>
      <c r="G406" s="21" t="s">
        <v>10</v>
      </c>
      <c r="H406" s="21"/>
    </row>
    <row r="407" spans="1:8">
      <c r="A407" s="21">
        <v>8217709</v>
      </c>
      <c r="B407" s="21" t="s">
        <v>269</v>
      </c>
      <c r="C407" s="21" t="s">
        <v>601</v>
      </c>
      <c r="D407" s="21">
        <v>2009</v>
      </c>
      <c r="E407" s="21" t="s">
        <v>8</v>
      </c>
      <c r="F407" s="21" t="s">
        <v>9</v>
      </c>
      <c r="G407" s="21" t="s">
        <v>451</v>
      </c>
      <c r="H407" s="21"/>
    </row>
    <row r="408" spans="1:8">
      <c r="A408" s="21"/>
      <c r="B408" s="21" t="s">
        <v>406</v>
      </c>
      <c r="C408" s="21" t="s">
        <v>165</v>
      </c>
      <c r="D408" s="21">
        <v>1981</v>
      </c>
      <c r="E408" s="21" t="s">
        <v>8</v>
      </c>
      <c r="F408" s="21" t="s">
        <v>9</v>
      </c>
      <c r="G408" s="21" t="s">
        <v>300</v>
      </c>
      <c r="H408" s="21"/>
    </row>
    <row r="409" spans="1:8">
      <c r="A409" s="21">
        <v>8270100</v>
      </c>
      <c r="B409" s="21" t="s">
        <v>791</v>
      </c>
      <c r="C409" s="21" t="s">
        <v>774</v>
      </c>
      <c r="D409" s="21">
        <v>2000</v>
      </c>
      <c r="E409" s="21" t="s">
        <v>248</v>
      </c>
      <c r="F409" s="21" t="s">
        <v>249</v>
      </c>
      <c r="G409" s="21" t="s">
        <v>815</v>
      </c>
      <c r="H409" s="21">
        <v>20152</v>
      </c>
    </row>
    <row r="410" spans="1:8">
      <c r="A410" s="21">
        <v>1570327</v>
      </c>
      <c r="B410" s="21" t="s">
        <v>602</v>
      </c>
      <c r="C410" s="21" t="s">
        <v>603</v>
      </c>
      <c r="D410" s="21">
        <v>1994</v>
      </c>
      <c r="E410" s="21" t="s">
        <v>415</v>
      </c>
      <c r="F410" s="21" t="s">
        <v>416</v>
      </c>
      <c r="G410" s="21" t="s">
        <v>451</v>
      </c>
      <c r="H410" s="21">
        <v>39755</v>
      </c>
    </row>
    <row r="411" spans="1:8">
      <c r="A411" s="21">
        <v>8002091</v>
      </c>
      <c r="B411" s="21" t="s">
        <v>271</v>
      </c>
      <c r="C411" s="21" t="s">
        <v>272</v>
      </c>
      <c r="D411" s="21">
        <v>1995</v>
      </c>
      <c r="E411" s="21" t="s">
        <v>273</v>
      </c>
      <c r="F411" s="21" t="s">
        <v>274</v>
      </c>
      <c r="G411" s="21" t="s">
        <v>10</v>
      </c>
      <c r="H411" s="21">
        <v>11061</v>
      </c>
    </row>
    <row r="412" spans="1:8">
      <c r="A412" s="21">
        <v>346755</v>
      </c>
      <c r="B412" s="21" t="s">
        <v>604</v>
      </c>
      <c r="C412" s="21" t="s">
        <v>605</v>
      </c>
      <c r="D412" s="21">
        <v>1961</v>
      </c>
      <c r="E412" s="21" t="s">
        <v>172</v>
      </c>
      <c r="F412" s="21" t="s">
        <v>173</v>
      </c>
      <c r="G412" s="21" t="s">
        <v>451</v>
      </c>
      <c r="H412" s="21">
        <v>20409</v>
      </c>
    </row>
    <row r="413" spans="1:8">
      <c r="A413" s="21"/>
      <c r="B413" s="21" t="s">
        <v>686</v>
      </c>
      <c r="C413" s="21" t="s">
        <v>687</v>
      </c>
      <c r="D413" s="21"/>
      <c r="E413" s="21" t="s">
        <v>8</v>
      </c>
      <c r="F413" s="21" t="s">
        <v>9</v>
      </c>
      <c r="G413" s="21" t="s">
        <v>625</v>
      </c>
      <c r="H413" s="21"/>
    </row>
    <row r="414" spans="1:8">
      <c r="A414" s="21"/>
      <c r="B414" s="21" t="s">
        <v>686</v>
      </c>
      <c r="C414" s="21" t="s">
        <v>688</v>
      </c>
      <c r="D414" s="21">
        <v>2006</v>
      </c>
      <c r="E414" s="21" t="s">
        <v>8</v>
      </c>
      <c r="F414" s="21" t="s">
        <v>9</v>
      </c>
      <c r="G414" s="21" t="s">
        <v>625</v>
      </c>
      <c r="H414" s="21"/>
    </row>
    <row r="415" spans="1:8">
      <c r="A415" s="21">
        <v>8226466</v>
      </c>
      <c r="B415" s="21" t="s">
        <v>525</v>
      </c>
      <c r="C415" s="21" t="s">
        <v>375</v>
      </c>
      <c r="D415" s="21">
        <v>1969</v>
      </c>
      <c r="E415" s="21" t="s">
        <v>13</v>
      </c>
      <c r="F415" s="21" t="s">
        <v>14</v>
      </c>
      <c r="G415" s="21" t="s">
        <v>422</v>
      </c>
      <c r="H415" s="21">
        <v>28411</v>
      </c>
    </row>
    <row r="416" spans="1:8">
      <c r="A416" s="21">
        <v>8280770</v>
      </c>
      <c r="B416" s="21" t="s">
        <v>275</v>
      </c>
      <c r="C416" s="21" t="s">
        <v>138</v>
      </c>
      <c r="D416" s="21">
        <v>1970</v>
      </c>
      <c r="E416" s="21" t="s">
        <v>276</v>
      </c>
      <c r="F416" s="21" t="s">
        <v>277</v>
      </c>
      <c r="G416" s="21" t="s">
        <v>10</v>
      </c>
      <c r="H416" s="21">
        <v>8508</v>
      </c>
    </row>
    <row r="417" spans="1:8">
      <c r="A417" s="21">
        <v>8210100</v>
      </c>
      <c r="B417" s="21" t="s">
        <v>275</v>
      </c>
      <c r="C417" s="21" t="s">
        <v>278</v>
      </c>
      <c r="D417" s="21">
        <v>2002</v>
      </c>
      <c r="E417" s="21" t="s">
        <v>276</v>
      </c>
      <c r="F417" s="21" t="s">
        <v>277</v>
      </c>
      <c r="G417" s="21" t="s">
        <v>10</v>
      </c>
      <c r="H417" s="21">
        <v>18261</v>
      </c>
    </row>
    <row r="418" spans="1:8">
      <c r="A418" s="21">
        <v>8030505</v>
      </c>
      <c r="B418" s="21" t="s">
        <v>275</v>
      </c>
      <c r="C418" s="21" t="s">
        <v>792</v>
      </c>
      <c r="D418" s="21">
        <v>2005</v>
      </c>
      <c r="E418" s="21" t="s">
        <v>276</v>
      </c>
      <c r="F418" s="21" t="s">
        <v>277</v>
      </c>
      <c r="G418" s="21" t="s">
        <v>815</v>
      </c>
      <c r="H418" s="21">
        <v>24375</v>
      </c>
    </row>
    <row r="419" spans="1:8">
      <c r="A419" s="21">
        <v>503808</v>
      </c>
      <c r="B419" s="21" t="s">
        <v>526</v>
      </c>
      <c r="C419" s="21" t="s">
        <v>254</v>
      </c>
      <c r="D419" s="21">
        <v>1968</v>
      </c>
      <c r="E419" s="21" t="s">
        <v>231</v>
      </c>
      <c r="F419" s="21" t="s">
        <v>232</v>
      </c>
      <c r="G419" s="21" t="s">
        <v>422</v>
      </c>
      <c r="H419" s="21">
        <v>16119</v>
      </c>
    </row>
    <row r="420" spans="1:8">
      <c r="A420" s="21">
        <v>9977777</v>
      </c>
      <c r="B420" s="21" t="s">
        <v>407</v>
      </c>
      <c r="C420" s="21" t="s">
        <v>408</v>
      </c>
      <c r="D420" s="21">
        <v>1958</v>
      </c>
      <c r="E420" s="21" t="s">
        <v>386</v>
      </c>
      <c r="F420" s="21" t="s">
        <v>387</v>
      </c>
      <c r="G420" s="21" t="s">
        <v>300</v>
      </c>
      <c r="H420" s="21">
        <v>1433</v>
      </c>
    </row>
    <row r="421" spans="1:8">
      <c r="A421" s="21">
        <v>2082461</v>
      </c>
      <c r="B421" s="21" t="s">
        <v>743</v>
      </c>
      <c r="C421" s="21" t="s">
        <v>205</v>
      </c>
      <c r="D421" s="21">
        <v>2010</v>
      </c>
      <c r="E421" s="21" t="s">
        <v>89</v>
      </c>
      <c r="F421" s="21" t="s">
        <v>90</v>
      </c>
      <c r="G421" s="21" t="s">
        <v>310</v>
      </c>
      <c r="H421" s="21">
        <v>43472</v>
      </c>
    </row>
    <row r="422" spans="1:8">
      <c r="A422" s="21">
        <v>1040845</v>
      </c>
      <c r="B422" s="21" t="s">
        <v>689</v>
      </c>
      <c r="C422" s="21" t="s">
        <v>608</v>
      </c>
      <c r="D422" s="21">
        <v>1992</v>
      </c>
      <c r="E422" s="21" t="s">
        <v>8</v>
      </c>
      <c r="F422" s="21" t="s">
        <v>9</v>
      </c>
      <c r="G422" s="21" t="s">
        <v>625</v>
      </c>
      <c r="H422" s="21"/>
    </row>
    <row r="423" spans="1:8">
      <c r="A423" s="21">
        <v>8204646</v>
      </c>
      <c r="B423" s="21" t="s">
        <v>279</v>
      </c>
      <c r="C423" s="21" t="s">
        <v>235</v>
      </c>
      <c r="D423" s="21">
        <v>1994</v>
      </c>
      <c r="E423" s="21" t="s">
        <v>34</v>
      </c>
      <c r="F423" s="21" t="s">
        <v>35</v>
      </c>
      <c r="G423" s="21" t="s">
        <v>10</v>
      </c>
      <c r="H423" s="21">
        <v>41272</v>
      </c>
    </row>
    <row r="424" spans="1:8">
      <c r="A424" s="21">
        <v>1779010</v>
      </c>
      <c r="B424" s="21" t="s">
        <v>690</v>
      </c>
      <c r="C424" s="21" t="s">
        <v>691</v>
      </c>
      <c r="D424" s="21">
        <v>1948</v>
      </c>
      <c r="E424" s="21" t="s">
        <v>89</v>
      </c>
      <c r="F424" s="21" t="s">
        <v>90</v>
      </c>
      <c r="G424" s="21" t="s">
        <v>625</v>
      </c>
      <c r="H424" s="21">
        <v>933</v>
      </c>
    </row>
    <row r="425" spans="1:8">
      <c r="A425" s="21">
        <v>8030982</v>
      </c>
      <c r="B425" s="21" t="s">
        <v>280</v>
      </c>
      <c r="C425" s="21" t="s">
        <v>281</v>
      </c>
      <c r="D425" s="21">
        <v>1982</v>
      </c>
      <c r="E425" s="21" t="s">
        <v>85</v>
      </c>
      <c r="F425" s="21" t="s">
        <v>86</v>
      </c>
      <c r="G425" s="21" t="s">
        <v>10</v>
      </c>
      <c r="H425" s="21">
        <v>27854</v>
      </c>
    </row>
    <row r="426" spans="1:8">
      <c r="A426" s="21">
        <v>9780794</v>
      </c>
      <c r="B426" s="21" t="s">
        <v>409</v>
      </c>
      <c r="C426" s="21" t="s">
        <v>244</v>
      </c>
      <c r="D426" s="21">
        <v>1972</v>
      </c>
      <c r="E426" s="21" t="s">
        <v>34</v>
      </c>
      <c r="F426" s="21" t="s">
        <v>35</v>
      </c>
      <c r="G426" s="21" t="s">
        <v>300</v>
      </c>
      <c r="H426" s="21">
        <v>42775</v>
      </c>
    </row>
    <row r="427" spans="1:8">
      <c r="A427" s="21">
        <v>895510</v>
      </c>
      <c r="B427" s="21" t="s">
        <v>606</v>
      </c>
      <c r="C427" s="21" t="s">
        <v>607</v>
      </c>
      <c r="D427" s="21">
        <v>1983</v>
      </c>
      <c r="E427" s="21" t="s">
        <v>65</v>
      </c>
      <c r="F427" s="21" t="s">
        <v>66</v>
      </c>
      <c r="G427" s="21" t="s">
        <v>451</v>
      </c>
      <c r="H427" s="21">
        <v>45653</v>
      </c>
    </row>
    <row r="428" spans="1:8">
      <c r="A428" s="21"/>
      <c r="B428" s="21" t="s">
        <v>793</v>
      </c>
      <c r="C428" s="21" t="s">
        <v>335</v>
      </c>
      <c r="D428" s="21">
        <v>1970</v>
      </c>
      <c r="E428" s="21" t="s">
        <v>34</v>
      </c>
      <c r="F428" s="21" t="s">
        <v>35</v>
      </c>
      <c r="G428" s="21" t="s">
        <v>815</v>
      </c>
      <c r="H428" s="21">
        <v>21220</v>
      </c>
    </row>
    <row r="429" spans="1:8">
      <c r="A429" s="21">
        <v>1341976</v>
      </c>
      <c r="B429" s="21" t="s">
        <v>410</v>
      </c>
      <c r="C429" s="21" t="s">
        <v>411</v>
      </c>
      <c r="D429" s="21">
        <v>1976</v>
      </c>
      <c r="E429" s="21" t="s">
        <v>29</v>
      </c>
      <c r="F429" s="21" t="s">
        <v>30</v>
      </c>
      <c r="G429" s="21" t="s">
        <v>300</v>
      </c>
      <c r="H429" s="21">
        <v>31866</v>
      </c>
    </row>
    <row r="430" spans="1:8">
      <c r="A430" s="21">
        <v>8352005</v>
      </c>
      <c r="B430" s="21" t="s">
        <v>410</v>
      </c>
      <c r="C430" s="21" t="s">
        <v>95</v>
      </c>
      <c r="D430" s="21">
        <v>2005</v>
      </c>
      <c r="E430" s="21" t="s">
        <v>29</v>
      </c>
      <c r="F430" s="21" t="s">
        <v>30</v>
      </c>
      <c r="G430" s="21" t="s">
        <v>300</v>
      </c>
      <c r="H430" s="21">
        <v>30151</v>
      </c>
    </row>
    <row r="431" spans="1:8">
      <c r="A431" s="21">
        <v>1502044</v>
      </c>
      <c r="B431" s="21" t="s">
        <v>692</v>
      </c>
      <c r="C431" s="21" t="s">
        <v>693</v>
      </c>
      <c r="D431" s="21">
        <v>2007</v>
      </c>
      <c r="E431" s="21" t="s">
        <v>29</v>
      </c>
      <c r="F431" s="21" t="s">
        <v>30</v>
      </c>
      <c r="G431" s="21" t="s">
        <v>625</v>
      </c>
      <c r="H431" s="21">
        <v>43383</v>
      </c>
    </row>
    <row r="432" spans="1:8">
      <c r="A432" s="21"/>
      <c r="B432" s="21" t="s">
        <v>692</v>
      </c>
      <c r="C432" s="21" t="s">
        <v>694</v>
      </c>
      <c r="D432" s="21">
        <v>1977</v>
      </c>
      <c r="E432" s="21" t="s">
        <v>695</v>
      </c>
      <c r="F432" s="21" t="s">
        <v>696</v>
      </c>
      <c r="G432" s="21" t="s">
        <v>625</v>
      </c>
      <c r="H432" s="21">
        <v>46180</v>
      </c>
    </row>
    <row r="433" spans="1:8">
      <c r="A433" s="21">
        <v>8230408</v>
      </c>
      <c r="B433" s="21" t="s">
        <v>527</v>
      </c>
      <c r="C433" s="21" t="s">
        <v>528</v>
      </c>
      <c r="D433" s="21">
        <v>2008</v>
      </c>
      <c r="E433" s="21" t="s">
        <v>34</v>
      </c>
      <c r="F433" s="21" t="s">
        <v>35</v>
      </c>
      <c r="G433" s="21" t="s">
        <v>422</v>
      </c>
      <c r="H433" s="21">
        <v>30002</v>
      </c>
    </row>
    <row r="434" spans="1:8">
      <c r="A434" s="21">
        <v>8131400</v>
      </c>
      <c r="B434" s="21" t="s">
        <v>527</v>
      </c>
      <c r="C434" s="21" t="s">
        <v>608</v>
      </c>
      <c r="D434" s="21">
        <v>1973</v>
      </c>
      <c r="E434" s="21" t="s">
        <v>34</v>
      </c>
      <c r="F434" s="21" t="s">
        <v>35</v>
      </c>
      <c r="G434" s="21" t="s">
        <v>451</v>
      </c>
      <c r="H434" s="21">
        <v>30539</v>
      </c>
    </row>
    <row r="435" spans="1:8">
      <c r="A435" s="21">
        <v>1001990</v>
      </c>
      <c r="B435" s="21" t="s">
        <v>527</v>
      </c>
      <c r="C435" s="21" t="s">
        <v>240</v>
      </c>
      <c r="D435" s="21">
        <v>2010</v>
      </c>
      <c r="E435" s="21" t="s">
        <v>34</v>
      </c>
      <c r="F435" s="21" t="s">
        <v>35</v>
      </c>
      <c r="G435" s="21" t="s">
        <v>625</v>
      </c>
      <c r="H435" s="21">
        <v>33245</v>
      </c>
    </row>
    <row r="436" spans="1:8">
      <c r="A436" s="21">
        <v>2213309</v>
      </c>
      <c r="B436" s="21" t="s">
        <v>609</v>
      </c>
      <c r="C436" s="21" t="s">
        <v>610</v>
      </c>
      <c r="D436" s="21">
        <v>1964</v>
      </c>
      <c r="E436" s="21" t="s">
        <v>89</v>
      </c>
      <c r="F436" s="21" t="s">
        <v>90</v>
      </c>
      <c r="G436" s="21" t="s">
        <v>451</v>
      </c>
      <c r="H436" s="21">
        <v>44404</v>
      </c>
    </row>
    <row r="437" spans="1:8">
      <c r="A437" s="21">
        <v>8002199</v>
      </c>
      <c r="B437" s="21" t="s">
        <v>412</v>
      </c>
      <c r="C437" s="21" t="s">
        <v>413</v>
      </c>
      <c r="D437" s="21">
        <v>1971</v>
      </c>
      <c r="E437" s="21" t="s">
        <v>369</v>
      </c>
      <c r="F437" s="21" t="s">
        <v>370</v>
      </c>
      <c r="G437" s="21" t="s">
        <v>300</v>
      </c>
      <c r="H437" s="21">
        <v>39551</v>
      </c>
    </row>
    <row r="438" spans="1:8">
      <c r="A438" s="21">
        <v>8001950</v>
      </c>
      <c r="B438" s="21" t="s">
        <v>744</v>
      </c>
      <c r="C438" s="21" t="s">
        <v>745</v>
      </c>
      <c r="D438" s="21">
        <v>1954</v>
      </c>
      <c r="E438" s="21" t="s">
        <v>366</v>
      </c>
      <c r="F438" s="21" t="s">
        <v>367</v>
      </c>
      <c r="G438" s="21" t="s">
        <v>310</v>
      </c>
      <c r="H438" s="21">
        <v>16129</v>
      </c>
    </row>
    <row r="439" spans="1:8">
      <c r="A439" s="21">
        <v>8509002</v>
      </c>
      <c r="B439" s="21" t="s">
        <v>529</v>
      </c>
      <c r="C439" s="21" t="s">
        <v>288</v>
      </c>
      <c r="D439" s="21">
        <v>1971</v>
      </c>
      <c r="E439" s="21" t="s">
        <v>325</v>
      </c>
      <c r="F439" s="21" t="s">
        <v>326</v>
      </c>
      <c r="G439" s="21" t="s">
        <v>422</v>
      </c>
      <c r="H439" s="21">
        <v>2499</v>
      </c>
    </row>
    <row r="440" spans="1:8">
      <c r="A440" s="21"/>
      <c r="B440" s="21" t="s">
        <v>282</v>
      </c>
      <c r="C440" s="21" t="s">
        <v>20</v>
      </c>
      <c r="D440" s="21">
        <v>1968</v>
      </c>
      <c r="E440" s="21" t="s">
        <v>34</v>
      </c>
      <c r="F440" s="21" t="s">
        <v>35</v>
      </c>
      <c r="G440" s="21" t="s">
        <v>10</v>
      </c>
      <c r="H440" s="21">
        <v>9599</v>
      </c>
    </row>
    <row r="441" spans="1:8">
      <c r="A441" s="21">
        <v>8002906</v>
      </c>
      <c r="B441" s="21" t="s">
        <v>282</v>
      </c>
      <c r="C441" s="21" t="s">
        <v>794</v>
      </c>
      <c r="D441" s="21">
        <v>2001</v>
      </c>
      <c r="E441" s="21" t="s">
        <v>34</v>
      </c>
      <c r="F441" s="21" t="s">
        <v>35</v>
      </c>
      <c r="G441" s="21" t="s">
        <v>815</v>
      </c>
      <c r="H441" s="21">
        <v>24793</v>
      </c>
    </row>
    <row r="442" spans="1:8">
      <c r="A442" s="21">
        <v>1395351</v>
      </c>
      <c r="B442" s="21" t="s">
        <v>414</v>
      </c>
      <c r="C442" s="21" t="s">
        <v>136</v>
      </c>
      <c r="D442" s="21">
        <v>1996</v>
      </c>
      <c r="E442" s="21" t="s">
        <v>415</v>
      </c>
      <c r="F442" s="21" t="s">
        <v>416</v>
      </c>
      <c r="G442" s="21" t="s">
        <v>300</v>
      </c>
      <c r="H442" s="21">
        <v>23302</v>
      </c>
    </row>
    <row r="443" spans="1:8">
      <c r="A443" s="21">
        <v>8624418</v>
      </c>
      <c r="B443" s="21" t="s">
        <v>611</v>
      </c>
      <c r="C443" s="21" t="s">
        <v>612</v>
      </c>
      <c r="D443" s="21">
        <v>1980</v>
      </c>
      <c r="E443" s="21" t="s">
        <v>613</v>
      </c>
      <c r="F443" s="21" t="s">
        <v>614</v>
      </c>
      <c r="G443" s="21" t="s">
        <v>451</v>
      </c>
      <c r="H443" s="21">
        <v>15917</v>
      </c>
    </row>
    <row r="444" spans="1:8">
      <c r="A444" s="21">
        <v>8624419</v>
      </c>
      <c r="B444" s="21" t="s">
        <v>611</v>
      </c>
      <c r="C444" s="21" t="s">
        <v>494</v>
      </c>
      <c r="D444" s="21">
        <v>2011</v>
      </c>
      <c r="E444" s="21" t="s">
        <v>613</v>
      </c>
      <c r="F444" s="21" t="s">
        <v>614</v>
      </c>
      <c r="G444" s="21" t="s">
        <v>310</v>
      </c>
      <c r="H444" s="21">
        <v>29174</v>
      </c>
    </row>
    <row r="445" spans="1:8">
      <c r="A445" s="21">
        <v>8624420</v>
      </c>
      <c r="B445" s="21" t="s">
        <v>611</v>
      </c>
      <c r="C445" s="21" t="s">
        <v>182</v>
      </c>
      <c r="D445" s="21">
        <v>2013</v>
      </c>
      <c r="E445" s="21" t="s">
        <v>613</v>
      </c>
      <c r="F445" s="21" t="s">
        <v>614</v>
      </c>
      <c r="G445" s="21" t="s">
        <v>752</v>
      </c>
      <c r="H445" s="21">
        <v>30997</v>
      </c>
    </row>
    <row r="446" spans="1:8">
      <c r="A446" s="21">
        <v>1603769</v>
      </c>
      <c r="B446" s="21" t="s">
        <v>615</v>
      </c>
      <c r="C446" s="21" t="s">
        <v>616</v>
      </c>
      <c r="D446" s="21">
        <v>1964</v>
      </c>
      <c r="E446" s="21" t="s">
        <v>61</v>
      </c>
      <c r="F446" s="21" t="s">
        <v>62</v>
      </c>
      <c r="G446" s="21" t="s">
        <v>451</v>
      </c>
      <c r="H446" s="21">
        <v>22385</v>
      </c>
    </row>
    <row r="447" spans="1:8">
      <c r="A447" s="21">
        <v>2109545</v>
      </c>
      <c r="B447" s="21" t="s">
        <v>617</v>
      </c>
      <c r="C447" s="21" t="s">
        <v>618</v>
      </c>
      <c r="D447" s="21">
        <v>1973</v>
      </c>
      <c r="E447" s="21" t="s">
        <v>47</v>
      </c>
      <c r="F447" s="21" t="s">
        <v>48</v>
      </c>
      <c r="G447" s="21" t="s">
        <v>451</v>
      </c>
      <c r="H447" s="21">
        <v>37050</v>
      </c>
    </row>
    <row r="448" spans="1:8">
      <c r="A448" s="21">
        <v>7921106</v>
      </c>
      <c r="B448" s="21" t="s">
        <v>283</v>
      </c>
      <c r="C448" s="21" t="s">
        <v>78</v>
      </c>
      <c r="D448" s="21">
        <v>1973</v>
      </c>
      <c r="E448" s="21" t="s">
        <v>65</v>
      </c>
      <c r="F448" s="21" t="s">
        <v>66</v>
      </c>
      <c r="G448" s="21" t="s">
        <v>10</v>
      </c>
      <c r="H448" s="21">
        <v>24690</v>
      </c>
    </row>
    <row r="449" spans="1:8">
      <c r="A449" s="21"/>
      <c r="B449" s="21" t="s">
        <v>697</v>
      </c>
      <c r="C449" s="21" t="s">
        <v>682</v>
      </c>
      <c r="D449" s="21">
        <v>1968</v>
      </c>
      <c r="E449" s="21" t="s">
        <v>8</v>
      </c>
      <c r="F449" s="21" t="s">
        <v>9</v>
      </c>
      <c r="G449" s="21" t="s">
        <v>625</v>
      </c>
      <c r="H449" s="21"/>
    </row>
    <row r="450" spans="1:8">
      <c r="A450" s="21"/>
      <c r="B450" s="21" t="s">
        <v>698</v>
      </c>
      <c r="C450" s="21" t="s">
        <v>699</v>
      </c>
      <c r="D450" s="21">
        <v>2006</v>
      </c>
      <c r="E450" s="21" t="s">
        <v>89</v>
      </c>
      <c r="F450" s="21" t="s">
        <v>90</v>
      </c>
      <c r="G450" s="21" t="s">
        <v>625</v>
      </c>
      <c r="H450" s="21">
        <v>43732</v>
      </c>
    </row>
    <row r="451" spans="1:8">
      <c r="A451" s="21"/>
      <c r="B451" s="21" t="s">
        <v>698</v>
      </c>
      <c r="C451" s="21" t="s">
        <v>16</v>
      </c>
      <c r="D451" s="21">
        <v>1974</v>
      </c>
      <c r="E451" s="21" t="s">
        <v>89</v>
      </c>
      <c r="F451" s="21" t="s">
        <v>90</v>
      </c>
      <c r="G451" s="21" t="s">
        <v>310</v>
      </c>
      <c r="H451" s="21">
        <v>43728</v>
      </c>
    </row>
    <row r="452" spans="1:8">
      <c r="A452" s="21">
        <v>8062826</v>
      </c>
      <c r="B452" s="21" t="s">
        <v>284</v>
      </c>
      <c r="C452" s="21" t="s">
        <v>43</v>
      </c>
      <c r="D452" s="21">
        <v>1980</v>
      </c>
      <c r="E452" s="21" t="s">
        <v>40</v>
      </c>
      <c r="F452" s="21" t="s">
        <v>41</v>
      </c>
      <c r="G452" s="21" t="s">
        <v>10</v>
      </c>
      <c r="H452" s="21">
        <v>24217</v>
      </c>
    </row>
    <row r="453" spans="1:8">
      <c r="A453" s="21">
        <v>8010022</v>
      </c>
      <c r="B453" s="21" t="s">
        <v>285</v>
      </c>
      <c r="C453" s="21" t="s">
        <v>286</v>
      </c>
      <c r="D453" s="21">
        <v>2000</v>
      </c>
      <c r="E453" s="21" t="s">
        <v>40</v>
      </c>
      <c r="F453" s="21" t="s">
        <v>41</v>
      </c>
      <c r="G453" s="21" t="s">
        <v>10</v>
      </c>
      <c r="H453" s="21">
        <v>22540</v>
      </c>
    </row>
    <row r="454" spans="1:8">
      <c r="A454" s="21">
        <v>800192</v>
      </c>
      <c r="B454" s="21" t="s">
        <v>795</v>
      </c>
      <c r="C454" s="21" t="s">
        <v>796</v>
      </c>
      <c r="D454" s="21">
        <v>1983</v>
      </c>
      <c r="E454" s="21" t="s">
        <v>8</v>
      </c>
      <c r="F454" s="21" t="s">
        <v>9</v>
      </c>
      <c r="G454" s="21" t="s">
        <v>815</v>
      </c>
      <c r="H454" s="21"/>
    </row>
    <row r="455" spans="1:8">
      <c r="A455" s="21"/>
      <c r="B455" s="21" t="s">
        <v>417</v>
      </c>
      <c r="C455" s="21" t="s">
        <v>58</v>
      </c>
      <c r="D455" s="21">
        <v>1988</v>
      </c>
      <c r="E455" s="21" t="s">
        <v>8</v>
      </c>
      <c r="F455" s="21" t="s">
        <v>9</v>
      </c>
      <c r="G455" s="21" t="s">
        <v>300</v>
      </c>
      <c r="H455" s="21"/>
    </row>
    <row r="456" spans="1:8">
      <c r="A456" s="21">
        <v>8088035</v>
      </c>
      <c r="B456" s="21" t="s">
        <v>797</v>
      </c>
      <c r="C456" s="21" t="s">
        <v>798</v>
      </c>
      <c r="D456" s="21">
        <v>1999</v>
      </c>
      <c r="E456" s="21" t="s">
        <v>13</v>
      </c>
      <c r="F456" s="21" t="s">
        <v>14</v>
      </c>
      <c r="G456" s="21" t="s">
        <v>815</v>
      </c>
      <c r="H456" s="21">
        <v>28412</v>
      </c>
    </row>
    <row r="457" spans="1:8">
      <c r="A457" s="21">
        <v>8059404</v>
      </c>
      <c r="B457" s="21" t="s">
        <v>287</v>
      </c>
      <c r="C457" s="21" t="s">
        <v>288</v>
      </c>
      <c r="D457" s="21">
        <v>1972</v>
      </c>
      <c r="E457" s="21" t="s">
        <v>47</v>
      </c>
      <c r="F457" s="21" t="s">
        <v>48</v>
      </c>
      <c r="G457" s="21" t="s">
        <v>10</v>
      </c>
      <c r="H457" s="21">
        <v>2121</v>
      </c>
    </row>
    <row r="458" spans="1:8">
      <c r="A458" s="21">
        <v>8335512</v>
      </c>
      <c r="B458" s="21" t="s">
        <v>530</v>
      </c>
      <c r="C458" s="21" t="s">
        <v>110</v>
      </c>
      <c r="D458" s="21">
        <v>1973</v>
      </c>
      <c r="E458" s="21" t="s">
        <v>383</v>
      </c>
      <c r="F458" s="21" t="s">
        <v>384</v>
      </c>
      <c r="G458" s="21" t="s">
        <v>422</v>
      </c>
      <c r="H458" s="21">
        <v>46050</v>
      </c>
    </row>
    <row r="459" spans="1:8">
      <c r="A459" s="21">
        <v>8066308</v>
      </c>
      <c r="B459" s="21" t="s">
        <v>530</v>
      </c>
      <c r="C459" s="21" t="s">
        <v>531</v>
      </c>
      <c r="D459" s="21">
        <v>2007</v>
      </c>
      <c r="E459" s="21" t="s">
        <v>383</v>
      </c>
      <c r="F459" s="21" t="s">
        <v>384</v>
      </c>
      <c r="G459" s="21" t="s">
        <v>422</v>
      </c>
      <c r="H459" s="21">
        <v>46049</v>
      </c>
    </row>
    <row r="460" spans="1:8">
      <c r="A460" s="21">
        <v>8159060</v>
      </c>
      <c r="B460" s="21" t="s">
        <v>289</v>
      </c>
      <c r="C460" s="21" t="s">
        <v>136</v>
      </c>
      <c r="D460" s="21">
        <v>2001</v>
      </c>
      <c r="E460" s="21" t="s">
        <v>290</v>
      </c>
      <c r="F460" s="21" t="s">
        <v>291</v>
      </c>
      <c r="G460" s="21" t="s">
        <v>10</v>
      </c>
      <c r="H460" s="21">
        <v>31334</v>
      </c>
    </row>
    <row r="461" spans="1:8">
      <c r="A461" s="21">
        <v>8094045</v>
      </c>
      <c r="B461" s="21" t="s">
        <v>799</v>
      </c>
      <c r="C461" s="21" t="s">
        <v>800</v>
      </c>
      <c r="D461" s="21">
        <v>1970</v>
      </c>
      <c r="E461" s="21" t="s">
        <v>386</v>
      </c>
      <c r="F461" s="21" t="s">
        <v>387</v>
      </c>
      <c r="G461" s="21" t="s">
        <v>815</v>
      </c>
      <c r="H461" s="21">
        <v>13244</v>
      </c>
    </row>
    <row r="462" spans="1:8">
      <c r="A462" s="21">
        <v>2046911</v>
      </c>
      <c r="B462" s="21" t="s">
        <v>619</v>
      </c>
      <c r="C462" s="21" t="s">
        <v>620</v>
      </c>
      <c r="D462" s="21">
        <v>1977</v>
      </c>
      <c r="E462" s="21" t="s">
        <v>89</v>
      </c>
      <c r="F462" s="21" t="s">
        <v>90</v>
      </c>
      <c r="G462" s="21" t="s">
        <v>451</v>
      </c>
      <c r="H462" s="21">
        <v>36108</v>
      </c>
    </row>
    <row r="463" spans="1:8">
      <c r="A463" s="21">
        <v>8250812</v>
      </c>
      <c r="B463" s="21" t="s">
        <v>418</v>
      </c>
      <c r="C463" s="21" t="s">
        <v>136</v>
      </c>
      <c r="D463" s="21">
        <v>2007</v>
      </c>
      <c r="E463" s="21" t="s">
        <v>248</v>
      </c>
      <c r="F463" s="21" t="s">
        <v>249</v>
      </c>
      <c r="G463" s="21" t="s">
        <v>300</v>
      </c>
      <c r="H463" s="21">
        <v>38619</v>
      </c>
    </row>
    <row r="464" spans="1:8">
      <c r="A464" s="21">
        <v>8065907</v>
      </c>
      <c r="B464" s="21" t="s">
        <v>292</v>
      </c>
      <c r="C464" s="21" t="s">
        <v>293</v>
      </c>
      <c r="D464" s="21">
        <v>2006</v>
      </c>
      <c r="E464" s="21" t="s">
        <v>156</v>
      </c>
      <c r="F464" s="21" t="s">
        <v>157</v>
      </c>
      <c r="G464" s="21" t="s">
        <v>10</v>
      </c>
      <c r="H464" s="21">
        <v>35558</v>
      </c>
    </row>
    <row r="465" spans="1:8">
      <c r="A465" s="21">
        <v>8643377</v>
      </c>
      <c r="B465" s="21" t="s">
        <v>419</v>
      </c>
      <c r="C465" s="21" t="s">
        <v>420</v>
      </c>
      <c r="D465" s="21">
        <v>1963</v>
      </c>
      <c r="E465" s="21" t="s">
        <v>8</v>
      </c>
      <c r="F465" s="21" t="s">
        <v>9</v>
      </c>
      <c r="G465" s="21" t="s">
        <v>300</v>
      </c>
      <c r="H465" s="21"/>
    </row>
    <row r="466" spans="1:8">
      <c r="A466" s="21"/>
      <c r="B466" s="21" t="s">
        <v>700</v>
      </c>
      <c r="C466" s="21" t="s">
        <v>338</v>
      </c>
      <c r="D466" s="21"/>
      <c r="E466" s="21" t="s">
        <v>8</v>
      </c>
      <c r="F466" s="21" t="s">
        <v>9</v>
      </c>
      <c r="G466" s="21" t="s">
        <v>625</v>
      </c>
      <c r="H466" s="21"/>
    </row>
    <row r="467" spans="1:8">
      <c r="A467" s="21">
        <v>8200795</v>
      </c>
      <c r="B467" s="21" t="s">
        <v>294</v>
      </c>
      <c r="C467" s="21" t="s">
        <v>295</v>
      </c>
      <c r="D467" s="21">
        <v>1995</v>
      </c>
      <c r="E467" s="21" t="s">
        <v>8</v>
      </c>
      <c r="F467" s="21" t="s">
        <v>9</v>
      </c>
      <c r="G467" s="21" t="s">
        <v>10</v>
      </c>
      <c r="H467" s="21"/>
    </row>
    <row r="468" spans="1:8">
      <c r="A468" s="21">
        <v>1702870</v>
      </c>
      <c r="B468" s="21" t="s">
        <v>532</v>
      </c>
      <c r="C468" s="21" t="s">
        <v>533</v>
      </c>
      <c r="D468" s="21">
        <v>1974</v>
      </c>
      <c r="E468" s="21" t="s">
        <v>65</v>
      </c>
      <c r="F468" s="21" t="s">
        <v>66</v>
      </c>
      <c r="G468" s="21" t="s">
        <v>422</v>
      </c>
      <c r="H468" s="21">
        <v>28217</v>
      </c>
    </row>
    <row r="469" spans="1:8">
      <c r="A469" s="21">
        <v>8270607</v>
      </c>
      <c r="B469" s="21" t="s">
        <v>296</v>
      </c>
      <c r="C469" s="21" t="s">
        <v>297</v>
      </c>
      <c r="D469" s="21">
        <v>1978</v>
      </c>
      <c r="E469" s="21" t="s">
        <v>150</v>
      </c>
      <c r="F469" s="21" t="s">
        <v>151</v>
      </c>
      <c r="G469" s="21" t="s">
        <v>10</v>
      </c>
      <c r="H469" s="21">
        <v>21183</v>
      </c>
    </row>
    <row r="470" spans="1:8">
      <c r="A470" s="21">
        <v>8050320</v>
      </c>
      <c r="B470" s="21" t="s">
        <v>296</v>
      </c>
      <c r="C470" s="21" t="s">
        <v>338</v>
      </c>
      <c r="D470" s="21">
        <v>1980</v>
      </c>
      <c r="E470" s="21" t="s">
        <v>150</v>
      </c>
      <c r="F470" s="21" t="s">
        <v>151</v>
      </c>
      <c r="G470" s="21" t="s">
        <v>815</v>
      </c>
      <c r="H470" s="21">
        <v>14238</v>
      </c>
    </row>
    <row r="471" spans="1:8">
      <c r="A471" s="21">
        <v>8230957</v>
      </c>
      <c r="B471" s="21" t="s">
        <v>534</v>
      </c>
      <c r="C471" s="21" t="s">
        <v>535</v>
      </c>
      <c r="D471" s="21">
        <v>1957</v>
      </c>
      <c r="E471" s="21" t="s">
        <v>266</v>
      </c>
      <c r="F471" s="21" t="s">
        <v>267</v>
      </c>
      <c r="G471" s="21" t="s">
        <v>422</v>
      </c>
      <c r="H471" s="21">
        <v>1955</v>
      </c>
    </row>
    <row r="472" spans="1:8">
      <c r="A472" s="21">
        <v>8240957</v>
      </c>
      <c r="B472" s="21" t="s">
        <v>534</v>
      </c>
      <c r="C472" s="21" t="s">
        <v>536</v>
      </c>
      <c r="D472" s="21">
        <v>1960</v>
      </c>
      <c r="E472" s="21" t="s">
        <v>266</v>
      </c>
      <c r="F472" s="21" t="s">
        <v>267</v>
      </c>
      <c r="G472" s="21" t="s">
        <v>422</v>
      </c>
      <c r="H472" s="21">
        <v>1956</v>
      </c>
    </row>
    <row r="473" spans="1:8">
      <c r="A473" s="21">
        <v>7211909</v>
      </c>
      <c r="B473" s="21" t="s">
        <v>621</v>
      </c>
      <c r="C473" s="21" t="s">
        <v>324</v>
      </c>
      <c r="D473" s="21">
        <v>1956</v>
      </c>
      <c r="E473" s="21" t="s">
        <v>8</v>
      </c>
      <c r="F473" s="21" t="s">
        <v>9</v>
      </c>
      <c r="G473" s="21" t="s">
        <v>451</v>
      </c>
      <c r="H473" s="21"/>
    </row>
    <row r="474" spans="1:8">
      <c r="A474" s="21"/>
      <c r="B474" s="21" t="s">
        <v>746</v>
      </c>
      <c r="C474" s="21" t="s">
        <v>747</v>
      </c>
      <c r="D474" s="21">
        <v>2010</v>
      </c>
      <c r="E474" s="21" t="s">
        <v>718</v>
      </c>
      <c r="F474" s="21" t="s">
        <v>719</v>
      </c>
      <c r="G474" s="21" t="s">
        <v>310</v>
      </c>
      <c r="H474" s="21"/>
    </row>
    <row r="475" spans="1:8">
      <c r="A475" s="21">
        <v>252493</v>
      </c>
      <c r="B475" s="21" t="s">
        <v>748</v>
      </c>
      <c r="C475" s="21" t="s">
        <v>749</v>
      </c>
      <c r="D475" s="21">
        <v>1993</v>
      </c>
      <c r="E475" s="21" t="s">
        <v>718</v>
      </c>
      <c r="F475" s="21" t="s">
        <v>719</v>
      </c>
      <c r="G475" s="21" t="s">
        <v>310</v>
      </c>
      <c r="H475" s="21"/>
    </row>
    <row r="476" spans="1:8">
      <c r="A476" s="21">
        <v>2150416</v>
      </c>
      <c r="B476" s="21" t="s">
        <v>622</v>
      </c>
      <c r="C476" s="21" t="s">
        <v>623</v>
      </c>
      <c r="D476" s="21">
        <v>2008</v>
      </c>
      <c r="E476" s="21" t="s">
        <v>47</v>
      </c>
      <c r="F476" s="21" t="s">
        <v>48</v>
      </c>
      <c r="G476" s="21" t="s">
        <v>451</v>
      </c>
      <c r="H476" s="21">
        <v>40155</v>
      </c>
    </row>
    <row r="477" spans="1:8">
      <c r="A477" s="21">
        <v>8080929</v>
      </c>
      <c r="B477" s="21" t="s">
        <v>750</v>
      </c>
      <c r="C477" s="21" t="s">
        <v>37</v>
      </c>
      <c r="D477" s="21">
        <v>2009</v>
      </c>
      <c r="E477" s="21" t="s">
        <v>89</v>
      </c>
      <c r="F477" s="21" t="s">
        <v>90</v>
      </c>
      <c r="G477" s="21" t="s">
        <v>310</v>
      </c>
      <c r="H477" s="21">
        <v>43330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11"/>
  <sheetViews>
    <sheetView workbookViewId="0">
      <selection activeCell="C21" sqref="C21"/>
    </sheetView>
  </sheetViews>
  <sheetFormatPr baseColWidth="10" defaultRowHeight="15"/>
  <sheetData>
    <row r="2" spans="2:7" ht="15.75" thickBot="1"/>
    <row r="3" spans="2:7" ht="45">
      <c r="B3" s="5" t="s">
        <v>801</v>
      </c>
      <c r="C3" s="15" t="s">
        <v>812</v>
      </c>
      <c r="D3" s="7" t="s">
        <v>806</v>
      </c>
      <c r="E3" s="8" t="s">
        <v>807</v>
      </c>
      <c r="F3" s="9" t="s">
        <v>813</v>
      </c>
      <c r="G3" s="6" t="s">
        <v>4</v>
      </c>
    </row>
    <row r="4" spans="2:7">
      <c r="B4" s="5" t="s">
        <v>810</v>
      </c>
      <c r="C4" s="16">
        <f>129+28</f>
        <v>157</v>
      </c>
      <c r="D4" s="10">
        <v>121</v>
      </c>
      <c r="E4" s="4">
        <f>29+7</f>
        <v>36</v>
      </c>
      <c r="F4" s="11">
        <f>SUM(D4:E4)</f>
        <v>157</v>
      </c>
      <c r="G4" s="18" t="s">
        <v>809</v>
      </c>
    </row>
    <row r="5" spans="2:7">
      <c r="B5" s="5" t="s">
        <v>300</v>
      </c>
      <c r="C5" s="16">
        <v>75</v>
      </c>
      <c r="D5" s="10">
        <v>52</v>
      </c>
      <c r="E5" s="4">
        <f>21+2</f>
        <v>23</v>
      </c>
      <c r="F5" s="11">
        <f t="shared" ref="F5:F10" si="0">SUM(D5:E5)</f>
        <v>75</v>
      </c>
      <c r="G5" s="6" t="s">
        <v>808</v>
      </c>
    </row>
    <row r="6" spans="2:7">
      <c r="B6" s="5" t="s">
        <v>422</v>
      </c>
      <c r="C6" s="16">
        <v>83</v>
      </c>
      <c r="D6" s="10">
        <v>66</v>
      </c>
      <c r="E6" s="4">
        <v>17</v>
      </c>
      <c r="F6" s="11">
        <f t="shared" si="0"/>
        <v>83</v>
      </c>
      <c r="G6" s="6" t="s">
        <v>805</v>
      </c>
    </row>
    <row r="7" spans="2:7">
      <c r="B7" s="5" t="s">
        <v>451</v>
      </c>
      <c r="C7" s="16">
        <v>60</v>
      </c>
      <c r="D7" s="10">
        <v>40</v>
      </c>
      <c r="E7" s="4">
        <v>20</v>
      </c>
      <c r="F7" s="11">
        <f t="shared" si="0"/>
        <v>60</v>
      </c>
      <c r="G7" s="6" t="s">
        <v>808</v>
      </c>
    </row>
    <row r="8" spans="2:7">
      <c r="B8" s="5" t="s">
        <v>625</v>
      </c>
      <c r="C8" s="16">
        <v>52</v>
      </c>
      <c r="D8" s="10">
        <v>35</v>
      </c>
      <c r="E8" s="4">
        <v>17</v>
      </c>
      <c r="F8" s="11">
        <f t="shared" si="0"/>
        <v>52</v>
      </c>
      <c r="G8" s="6" t="s">
        <v>808</v>
      </c>
    </row>
    <row r="9" spans="2:7">
      <c r="B9" s="5" t="s">
        <v>310</v>
      </c>
      <c r="C9" s="16">
        <v>39</v>
      </c>
      <c r="D9" s="10">
        <v>28</v>
      </c>
      <c r="E9" s="4">
        <v>11</v>
      </c>
      <c r="F9" s="11">
        <f t="shared" si="0"/>
        <v>39</v>
      </c>
      <c r="G9" s="6" t="s">
        <v>808</v>
      </c>
    </row>
    <row r="10" spans="2:7">
      <c r="B10" s="5" t="s">
        <v>752</v>
      </c>
      <c r="C10" s="16">
        <v>10</v>
      </c>
      <c r="D10" s="10">
        <v>8</v>
      </c>
      <c r="E10" s="4">
        <v>2</v>
      </c>
      <c r="F10" s="11">
        <f t="shared" si="0"/>
        <v>10</v>
      </c>
      <c r="G10" s="6" t="s">
        <v>811</v>
      </c>
    </row>
    <row r="11" spans="2:7" ht="15.75" thickBot="1">
      <c r="B11" s="5" t="s">
        <v>803</v>
      </c>
      <c r="C11" s="17">
        <f>SUM(C4:C10)</f>
        <v>476</v>
      </c>
      <c r="D11" s="12"/>
      <c r="E11" s="13"/>
      <c r="F11" s="14">
        <f>SUM(F4:F10)</f>
        <v>476</v>
      </c>
      <c r="G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3"/>
  <sheetViews>
    <sheetView workbookViewId="0">
      <selection activeCell="D23" sqref="D23"/>
    </sheetView>
  </sheetViews>
  <sheetFormatPr baseColWidth="10" defaultRowHeight="15"/>
  <cols>
    <col min="1" max="1" width="19.5703125" bestFit="1" customWidth="1"/>
    <col min="2" max="2" width="15.28515625" bestFit="1" customWidth="1"/>
  </cols>
  <sheetData>
    <row r="3" spans="1:2">
      <c r="A3" s="1" t="s">
        <v>801</v>
      </c>
      <c r="B3" t="s">
        <v>804</v>
      </c>
    </row>
    <row r="4" spans="1:2" ht="34.15" customHeight="1">
      <c r="A4" s="2" t="s">
        <v>300</v>
      </c>
      <c r="B4" s="3">
        <v>75</v>
      </c>
    </row>
    <row r="5" spans="1:2">
      <c r="A5" s="2" t="s">
        <v>10</v>
      </c>
      <c r="B5" s="3">
        <v>129</v>
      </c>
    </row>
    <row r="6" spans="1:2">
      <c r="A6" s="2" t="s">
        <v>765</v>
      </c>
      <c r="B6" s="3">
        <v>28</v>
      </c>
    </row>
    <row r="7" spans="1:2">
      <c r="A7" s="2" t="s">
        <v>422</v>
      </c>
      <c r="B7" s="3">
        <v>83</v>
      </c>
    </row>
    <row r="8" spans="1:2">
      <c r="A8" s="2" t="s">
        <v>451</v>
      </c>
      <c r="B8" s="3">
        <v>60</v>
      </c>
    </row>
    <row r="9" spans="1:2">
      <c r="A9" s="2" t="s">
        <v>625</v>
      </c>
      <c r="B9" s="3">
        <v>52</v>
      </c>
    </row>
    <row r="10" spans="1:2">
      <c r="A10" s="2" t="s">
        <v>310</v>
      </c>
      <c r="B10" s="3">
        <v>39</v>
      </c>
    </row>
    <row r="11" spans="1:2">
      <c r="A11" s="2" t="s">
        <v>752</v>
      </c>
      <c r="B11" s="3">
        <v>10</v>
      </c>
    </row>
    <row r="12" spans="1:2">
      <c r="A12" s="2" t="s">
        <v>802</v>
      </c>
      <c r="B12" s="3"/>
    </row>
    <row r="13" spans="1:2">
      <c r="A13" s="2" t="s">
        <v>803</v>
      </c>
      <c r="B13" s="3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Categorie LD</vt:lpstr>
      <vt:lpstr>CONTROL</vt:lpstr>
      <vt:lpstr>total par circuit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CDCO 77</dc:creator>
  <cp:lastModifiedBy>odile vardanega</cp:lastModifiedBy>
  <dcterms:created xsi:type="dcterms:W3CDTF">2023-12-11T21:04:12Z</dcterms:created>
  <dcterms:modified xsi:type="dcterms:W3CDTF">2023-12-11T22:34:08Z</dcterms:modified>
</cp:coreProperties>
</file>